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aruf\OneDrive\Desktop\habiba\data analytics\projects\"/>
    </mc:Choice>
  </mc:AlternateContent>
  <xr:revisionPtr revIDLastSave="0" documentId="13_ncr:1_{3336D574-0264-476D-B023-0F045D413287}" xr6:coauthVersionLast="47" xr6:coauthVersionMax="47" xr10:uidLastSave="{00000000-0000-0000-0000-000000000000}"/>
  <bookViews>
    <workbookView xWindow="-108" yWindow="-108" windowWidth="23256" windowHeight="12456" activeTab="3" xr2:uid="{5FE8C4A3-77D1-4EBD-9DAE-6A142284BEF7}"/>
  </bookViews>
  <sheets>
    <sheet name="original" sheetId="1" r:id="rId1"/>
    <sheet name="Sheet2" sheetId="2" r:id="rId2"/>
    <sheet name="pivot" sheetId="3" r:id="rId3"/>
    <sheet name="DASHBOARD" sheetId="8" r:id="rId4"/>
  </sheets>
  <definedNames>
    <definedName name="Slicer_Machine_ID">#N/A</definedName>
    <definedName name="Slicer_Operation_Type">#N/A</definedName>
    <definedName name="Slicer_Quality">#N/A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<sst xmlns="http://schemas.openxmlformats.org/spreadsheetml/2006/main" count="9098" uniqueCount="1049">
  <si>
    <t>Job_ID</t>
  </si>
  <si>
    <t>Machine_ID</t>
  </si>
  <si>
    <t>Operation_Type</t>
  </si>
  <si>
    <t>Material_Used</t>
  </si>
  <si>
    <t>Processing_Time</t>
  </si>
  <si>
    <t>Energy_Consumption</t>
  </si>
  <si>
    <t>Machine_Availability</t>
  </si>
  <si>
    <t>Scheduled_Start</t>
  </si>
  <si>
    <t>Scheduled_End</t>
  </si>
  <si>
    <t>Actual_Start</t>
  </si>
  <si>
    <t>Actual_End</t>
  </si>
  <si>
    <t>Job_Status</t>
  </si>
  <si>
    <t>Optimization_Category</t>
  </si>
  <si>
    <t>J001</t>
  </si>
  <si>
    <t>M01</t>
  </si>
  <si>
    <t>Grinding</t>
  </si>
  <si>
    <t>Completed</t>
  </si>
  <si>
    <t>Moderate Efficiency</t>
  </si>
  <si>
    <t>J002</t>
  </si>
  <si>
    <t>Delayed</t>
  </si>
  <si>
    <t>Low Efficiency</t>
  </si>
  <si>
    <t>J003</t>
  </si>
  <si>
    <t>M04</t>
  </si>
  <si>
    <t>Additive</t>
  </si>
  <si>
    <t>Failed</t>
  </si>
  <si>
    <t>J004</t>
  </si>
  <si>
    <t>J005</t>
  </si>
  <si>
    <t>Lathe</t>
  </si>
  <si>
    <t>High Efficiency</t>
  </si>
  <si>
    <t>J006</t>
  </si>
  <si>
    <t>M02</t>
  </si>
  <si>
    <t>J007</t>
  </si>
  <si>
    <t>Milling</t>
  </si>
  <si>
    <t>J008</t>
  </si>
  <si>
    <t>M05</t>
  </si>
  <si>
    <t>J009</t>
  </si>
  <si>
    <t>Drilling</t>
  </si>
  <si>
    <t>J010</t>
  </si>
  <si>
    <t>J011</t>
  </si>
  <si>
    <t>J012</t>
  </si>
  <si>
    <t>M03</t>
  </si>
  <si>
    <t>J013</t>
  </si>
  <si>
    <t>J014</t>
  </si>
  <si>
    <t>Optimal Efficiency</t>
  </si>
  <si>
    <t>J015</t>
  </si>
  <si>
    <t>J016</t>
  </si>
  <si>
    <t>J017</t>
  </si>
  <si>
    <t>J018</t>
  </si>
  <si>
    <t>J019</t>
  </si>
  <si>
    <t>J020</t>
  </si>
  <si>
    <t>J021</t>
  </si>
  <si>
    <t>J022</t>
  </si>
  <si>
    <t>J023</t>
  </si>
  <si>
    <t>J024</t>
  </si>
  <si>
    <t>J025</t>
  </si>
  <si>
    <t>J026</t>
  </si>
  <si>
    <t>J027</t>
  </si>
  <si>
    <t>J028</t>
  </si>
  <si>
    <t>J029</t>
  </si>
  <si>
    <t>J030</t>
  </si>
  <si>
    <t>J031</t>
  </si>
  <si>
    <t>J032</t>
  </si>
  <si>
    <t>J033</t>
  </si>
  <si>
    <t>J034</t>
  </si>
  <si>
    <t>J035</t>
  </si>
  <si>
    <t>J036</t>
  </si>
  <si>
    <t>J037</t>
  </si>
  <si>
    <t>J038</t>
  </si>
  <si>
    <t>J039</t>
  </si>
  <si>
    <t>J040</t>
  </si>
  <si>
    <t>J041</t>
  </si>
  <si>
    <t>J042</t>
  </si>
  <si>
    <t>J043</t>
  </si>
  <si>
    <t>J044</t>
  </si>
  <si>
    <t>J045</t>
  </si>
  <si>
    <t>J046</t>
  </si>
  <si>
    <t>J047</t>
  </si>
  <si>
    <t>J048</t>
  </si>
  <si>
    <t>J049</t>
  </si>
  <si>
    <t>J050</t>
  </si>
  <si>
    <t>J051</t>
  </si>
  <si>
    <t>J052</t>
  </si>
  <si>
    <t>J053</t>
  </si>
  <si>
    <t>J054</t>
  </si>
  <si>
    <t>J055</t>
  </si>
  <si>
    <t>J056</t>
  </si>
  <si>
    <t>J057</t>
  </si>
  <si>
    <t>J058</t>
  </si>
  <si>
    <t>J059</t>
  </si>
  <si>
    <t>J060</t>
  </si>
  <si>
    <t>J061</t>
  </si>
  <si>
    <t>J062</t>
  </si>
  <si>
    <t>J063</t>
  </si>
  <si>
    <t>J064</t>
  </si>
  <si>
    <t>J065</t>
  </si>
  <si>
    <t>J066</t>
  </si>
  <si>
    <t>J067</t>
  </si>
  <si>
    <t>J068</t>
  </si>
  <si>
    <t>J069</t>
  </si>
  <si>
    <t>J070</t>
  </si>
  <si>
    <t>J071</t>
  </si>
  <si>
    <t>J072</t>
  </si>
  <si>
    <t>J073</t>
  </si>
  <si>
    <t>J074</t>
  </si>
  <si>
    <t>J075</t>
  </si>
  <si>
    <t>J076</t>
  </si>
  <si>
    <t>J077</t>
  </si>
  <si>
    <t>J078</t>
  </si>
  <si>
    <t>J079</t>
  </si>
  <si>
    <t>J080</t>
  </si>
  <si>
    <t>J081</t>
  </si>
  <si>
    <t>J082</t>
  </si>
  <si>
    <t>J083</t>
  </si>
  <si>
    <t>J084</t>
  </si>
  <si>
    <t>J085</t>
  </si>
  <si>
    <t>J086</t>
  </si>
  <si>
    <t>J087</t>
  </si>
  <si>
    <t>J088</t>
  </si>
  <si>
    <t>J089</t>
  </si>
  <si>
    <t>J090</t>
  </si>
  <si>
    <t>J091</t>
  </si>
  <si>
    <t>J092</t>
  </si>
  <si>
    <t>J093</t>
  </si>
  <si>
    <t>J094</t>
  </si>
  <si>
    <t>J095</t>
  </si>
  <si>
    <t>J096</t>
  </si>
  <si>
    <t>J097</t>
  </si>
  <si>
    <t>J098</t>
  </si>
  <si>
    <t>J099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</si>
  <si>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</si>
  <si>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</si>
  <si>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</si>
  <si>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</si>
  <si>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</si>
  <si>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</si>
  <si>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</si>
  <si>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</si>
  <si>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</si>
  <si>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</si>
  <si>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</si>
  <si>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</si>
  <si>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</si>
  <si>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</si>
  <si>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</si>
  <si>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</si>
  <si>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</si>
  <si>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</si>
  <si>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</si>
  <si>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</si>
  <si>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</si>
  <si>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</si>
  <si>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</si>
  <si>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</si>
  <si>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</si>
  <si>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</si>
  <si>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</si>
  <si>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</si>
  <si>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</si>
  <si>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</si>
  <si>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</si>
  <si>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</si>
  <si>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</si>
  <si>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</si>
  <si>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</si>
  <si>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</si>
  <si>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</si>
  <si>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</si>
  <si>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</si>
  <si>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</si>
  <si>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</si>
  <si>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</si>
  <si>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</si>
  <si>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</si>
  <si>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</si>
  <si>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</si>
  <si>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</si>
  <si>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</si>
  <si>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</si>
  <si>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</si>
  <si>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</si>
  <si>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</si>
  <si>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</si>
  <si>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</si>
  <si>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</si>
  <si>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</si>
  <si>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</si>
  <si>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</si>
  <si>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</si>
  <si>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</si>
  <si>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</si>
  <si>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</si>
  <si>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</si>
  <si>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</si>
  <si>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</si>
  <si>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</si>
  <si>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</si>
  <si>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</si>
  <si>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</si>
  <si>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</si>
  <si>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</si>
  <si>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</si>
  <si>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</si>
  <si>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</si>
  <si>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</si>
  <si>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</si>
  <si>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</si>
  <si>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</si>
  <si>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</si>
  <si>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</si>
  <si>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</si>
  <si>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</si>
  <si>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</si>
  <si>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</si>
  <si>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</si>
  <si>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</si>
  <si>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</si>
  <si>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</si>
  <si>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</si>
  <si>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</si>
  <si>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</si>
  <si>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</si>
  <si>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</si>
  <si>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</si>
  <si>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</si>
  <si>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</si>
  <si>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</si>
  <si>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</si>
  <si>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</si>
  <si>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</si>
  <si>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</si>
  <si>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</si>
  <si>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</si>
  <si>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</si>
  <si>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</si>
  <si>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</si>
  <si>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</si>
  <si>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</si>
  <si>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</si>
  <si>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</si>
  <si>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</si>
  <si>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</si>
  <si>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</si>
  <si>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</si>
  <si>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</si>
  <si>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</si>
  <si>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</si>
  <si>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</si>
  <si>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</si>
  <si>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</si>
  <si>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</si>
  <si>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J221</t>
  </si>
  <si>
    <t>J222</t>
  </si>
  <si>
    <t>J223</t>
  </si>
  <si>
    <t>J224</t>
  </si>
  <si>
    <t>J225</t>
  </si>
  <si>
    <t>J226</t>
  </si>
  <si>
    <t>J227</t>
  </si>
  <si>
    <t>J228</t>
  </si>
  <si>
    <t>J229</t>
  </si>
  <si>
    <t>J230</t>
  </si>
  <si>
    <t>J231</t>
  </si>
  <si>
    <t>J232</t>
  </si>
  <si>
    <t>J233</t>
  </si>
  <si>
    <t>J234</t>
  </si>
  <si>
    <t>J235</t>
  </si>
  <si>
    <t>J236</t>
  </si>
  <si>
    <t>J237</t>
  </si>
  <si>
    <t>J238</t>
  </si>
  <si>
    <t>J239</t>
  </si>
  <si>
    <t>J240</t>
  </si>
  <si>
    <t>J241</t>
  </si>
  <si>
    <t>J242</t>
  </si>
  <si>
    <t>J243</t>
  </si>
  <si>
    <t>J244</t>
  </si>
  <si>
    <t>J245</t>
  </si>
  <si>
    <t>J246</t>
  </si>
  <si>
    <t>J247</t>
  </si>
  <si>
    <t>J248</t>
  </si>
  <si>
    <t>J249</t>
  </si>
  <si>
    <t>J250</t>
  </si>
  <si>
    <t>J251</t>
  </si>
  <si>
    <t>J252</t>
  </si>
  <si>
    <t>J253</t>
  </si>
  <si>
    <t>J254</t>
  </si>
  <si>
    <t>J255</t>
  </si>
  <si>
    <t>J256</t>
  </si>
  <si>
    <t>J257</t>
  </si>
  <si>
    <t>J258</t>
  </si>
  <si>
    <t>J259</t>
  </si>
  <si>
    <t>J260</t>
  </si>
  <si>
    <t>J261</t>
  </si>
  <si>
    <t>J262</t>
  </si>
  <si>
    <t>J263</t>
  </si>
  <si>
    <t>J264</t>
  </si>
  <si>
    <t>J265</t>
  </si>
  <si>
    <t>J266</t>
  </si>
  <si>
    <t>J267</t>
  </si>
  <si>
    <t>J268</t>
  </si>
  <si>
    <t>J269</t>
  </si>
  <si>
    <t>J270</t>
  </si>
  <si>
    <t>J271</t>
  </si>
  <si>
    <t>J272</t>
  </si>
  <si>
    <t>J273</t>
  </si>
  <si>
    <t>J274</t>
  </si>
  <si>
    <t>J275</t>
  </si>
  <si>
    <t>J276</t>
  </si>
  <si>
    <t>J277</t>
  </si>
  <si>
    <t>J278</t>
  </si>
  <si>
    <t>J279</t>
  </si>
  <si>
    <t>J280</t>
  </si>
  <si>
    <t>J281</t>
  </si>
  <si>
    <t>J282</t>
  </si>
  <si>
    <t>J283</t>
  </si>
  <si>
    <t>J284</t>
  </si>
  <si>
    <t>J285</t>
  </si>
  <si>
    <t>J286</t>
  </si>
  <si>
    <t>J287</t>
  </si>
  <si>
    <t>J288</t>
  </si>
  <si>
    <t>J289</t>
  </si>
  <si>
    <t>J290</t>
  </si>
  <si>
    <t>J291</t>
  </si>
  <si>
    <t>J292</t>
  </si>
  <si>
    <t>J293</t>
  </si>
  <si>
    <t>J294</t>
  </si>
  <si>
    <t>J295</t>
  </si>
  <si>
    <t>J296</t>
  </si>
  <si>
    <t>J297</t>
  </si>
  <si>
    <t>J298</t>
  </si>
  <si>
    <t>J299</t>
  </si>
  <si>
    <t>J300</t>
  </si>
  <si>
    <t>J301</t>
  </si>
  <si>
    <t>J302</t>
  </si>
  <si>
    <t>J303</t>
  </si>
  <si>
    <t>J304</t>
  </si>
  <si>
    <t>J305</t>
  </si>
  <si>
    <t>J306</t>
  </si>
  <si>
    <t>J307</t>
  </si>
  <si>
    <t>J308</t>
  </si>
  <si>
    <t>J309</t>
  </si>
  <si>
    <t>J310</t>
  </si>
  <si>
    <t>J311</t>
  </si>
  <si>
    <t>J312</t>
  </si>
  <si>
    <t>J313</t>
  </si>
  <si>
    <t>J314</t>
  </si>
  <si>
    <t>J315</t>
  </si>
  <si>
    <t>J316</t>
  </si>
  <si>
    <t>J317</t>
  </si>
  <si>
    <t>J318</t>
  </si>
  <si>
    <t>J319</t>
  </si>
  <si>
    <t>J320</t>
  </si>
  <si>
    <t>J321</t>
  </si>
  <si>
    <t>J322</t>
  </si>
  <si>
    <t>J323</t>
  </si>
  <si>
    <t>J324</t>
  </si>
  <si>
    <t>J325</t>
  </si>
  <si>
    <t>J326</t>
  </si>
  <si>
    <t>J327</t>
  </si>
  <si>
    <t>J328</t>
  </si>
  <si>
    <t>J329</t>
  </si>
  <si>
    <t>J330</t>
  </si>
  <si>
    <t>J331</t>
  </si>
  <si>
    <t>J332</t>
  </si>
  <si>
    <t>J333</t>
  </si>
  <si>
    <t>J334</t>
  </si>
  <si>
    <t>J335</t>
  </si>
  <si>
    <t>J336</t>
  </si>
  <si>
    <t>J337</t>
  </si>
  <si>
    <t>J338</t>
  </si>
  <si>
    <t>J339</t>
  </si>
  <si>
    <t>J340</t>
  </si>
  <si>
    <t>J341</t>
  </si>
  <si>
    <t>J342</t>
  </si>
  <si>
    <t>J343</t>
  </si>
  <si>
    <t>J344</t>
  </si>
  <si>
    <t>J345</t>
  </si>
  <si>
    <t>J346</t>
  </si>
  <si>
    <t>J347</t>
  </si>
  <si>
    <t>J348</t>
  </si>
  <si>
    <t>J349</t>
  </si>
  <si>
    <t>J350</t>
  </si>
  <si>
    <t>J351</t>
  </si>
  <si>
    <t>J352</t>
  </si>
  <si>
    <t>J353</t>
  </si>
  <si>
    <t>J354</t>
  </si>
  <si>
    <t>J355</t>
  </si>
  <si>
    <t>J356</t>
  </si>
  <si>
    <t>J357</t>
  </si>
  <si>
    <t>J358</t>
  </si>
  <si>
    <t>J359</t>
  </si>
  <si>
    <t>J360</t>
  </si>
  <si>
    <t>J361</t>
  </si>
  <si>
    <t>J362</t>
  </si>
  <si>
    <t>J363</t>
  </si>
  <si>
    <t>J364</t>
  </si>
  <si>
    <t>J365</t>
  </si>
  <si>
    <t>J366</t>
  </si>
  <si>
    <t>J367</t>
  </si>
  <si>
    <t>J368</t>
  </si>
  <si>
    <t>J369</t>
  </si>
  <si>
    <t>J370</t>
  </si>
  <si>
    <t>J371</t>
  </si>
  <si>
    <t>J372</t>
  </si>
  <si>
    <t>J373</t>
  </si>
  <si>
    <t>J374</t>
  </si>
  <si>
    <t>J375</t>
  </si>
  <si>
    <t>J376</t>
  </si>
  <si>
    <t>J377</t>
  </si>
  <si>
    <t>J378</t>
  </si>
  <si>
    <t>J379</t>
  </si>
  <si>
    <t>J380</t>
  </si>
  <si>
    <t>J381</t>
  </si>
  <si>
    <t>J382</t>
  </si>
  <si>
    <t>J383</t>
  </si>
  <si>
    <t>J384</t>
  </si>
  <si>
    <t>J385</t>
  </si>
  <si>
    <t>J386</t>
  </si>
  <si>
    <t>J387</t>
  </si>
  <si>
    <t>J388</t>
  </si>
  <si>
    <t>J389</t>
  </si>
  <si>
    <t>J390</t>
  </si>
  <si>
    <t>J391</t>
  </si>
  <si>
    <t>J392</t>
  </si>
  <si>
    <t>J393</t>
  </si>
  <si>
    <t>J394</t>
  </si>
  <si>
    <t>J395</t>
  </si>
  <si>
    <t>J396</t>
  </si>
  <si>
    <t>J397</t>
  </si>
  <si>
    <t>J398</t>
  </si>
  <si>
    <t>J399</t>
  </si>
  <si>
    <t>J400</t>
  </si>
  <si>
    <t>J401</t>
  </si>
  <si>
    <t>J402</t>
  </si>
  <si>
    <t>J403</t>
  </si>
  <si>
    <t>J404</t>
  </si>
  <si>
    <t>J405</t>
  </si>
  <si>
    <t>J406</t>
  </si>
  <si>
    <t>J407</t>
  </si>
  <si>
    <t>J408</t>
  </si>
  <si>
    <t>J409</t>
  </si>
  <si>
    <t>J410</t>
  </si>
  <si>
    <t>J411</t>
  </si>
  <si>
    <t>J412</t>
  </si>
  <si>
    <t>J413</t>
  </si>
  <si>
    <t>J414</t>
  </si>
  <si>
    <t>J415</t>
  </si>
  <si>
    <t>J416</t>
  </si>
  <si>
    <t>J417</t>
  </si>
  <si>
    <t>J418</t>
  </si>
  <si>
    <t>J419</t>
  </si>
  <si>
    <t>J420</t>
  </si>
  <si>
    <t>J421</t>
  </si>
  <si>
    <t>J422</t>
  </si>
  <si>
    <t>J423</t>
  </si>
  <si>
    <t>J424</t>
  </si>
  <si>
    <t>J425</t>
  </si>
  <si>
    <t>J426</t>
  </si>
  <si>
    <t>J427</t>
  </si>
  <si>
    <t>J428</t>
  </si>
  <si>
    <t>J429</t>
  </si>
  <si>
    <t>J430</t>
  </si>
  <si>
    <t>J431</t>
  </si>
  <si>
    <t>J432</t>
  </si>
  <si>
    <t>J433</t>
  </si>
  <si>
    <t>J434</t>
  </si>
  <si>
    <t>J435</t>
  </si>
  <si>
    <t>J436</t>
  </si>
  <si>
    <t>J437</t>
  </si>
  <si>
    <t>J438</t>
  </si>
  <si>
    <t>J439</t>
  </si>
  <si>
    <t>J440</t>
  </si>
  <si>
    <t>J441</t>
  </si>
  <si>
    <t>J442</t>
  </si>
  <si>
    <t>J443</t>
  </si>
  <si>
    <t>J444</t>
  </si>
  <si>
    <t>J445</t>
  </si>
  <si>
    <t>J446</t>
  </si>
  <si>
    <t>J447</t>
  </si>
  <si>
    <t>J448</t>
  </si>
  <si>
    <t>J449</t>
  </si>
  <si>
    <t>J450</t>
  </si>
  <si>
    <t>J451</t>
  </si>
  <si>
    <t>J452</t>
  </si>
  <si>
    <t>J453</t>
  </si>
  <si>
    <t>J454</t>
  </si>
  <si>
    <t>J455</t>
  </si>
  <si>
    <t>J456</t>
  </si>
  <si>
    <t>J457</t>
  </si>
  <si>
    <t>J458</t>
  </si>
  <si>
    <t>J459</t>
  </si>
  <si>
    <t>J460</t>
  </si>
  <si>
    <t>J461</t>
  </si>
  <si>
    <t>J462</t>
  </si>
  <si>
    <t>J463</t>
  </si>
  <si>
    <t>J464</t>
  </si>
  <si>
    <t>J465</t>
  </si>
  <si>
    <t>J466</t>
  </si>
  <si>
    <t>J467</t>
  </si>
  <si>
    <t>J468</t>
  </si>
  <si>
    <t>J469</t>
  </si>
  <si>
    <t>J470</t>
  </si>
  <si>
    <t>J471</t>
  </si>
  <si>
    <t>J472</t>
  </si>
  <si>
    <t>J473</t>
  </si>
  <si>
    <t>J474</t>
  </si>
  <si>
    <t>J475</t>
  </si>
  <si>
    <t>J476</t>
  </si>
  <si>
    <t>J477</t>
  </si>
  <si>
    <t>J478</t>
  </si>
  <si>
    <t>J479</t>
  </si>
  <si>
    <t>J480</t>
  </si>
  <si>
    <t>J481</t>
  </si>
  <si>
    <t>J482</t>
  </si>
  <si>
    <t>J483</t>
  </si>
  <si>
    <t>J484</t>
  </si>
  <si>
    <t>J485</t>
  </si>
  <si>
    <t>J486</t>
  </si>
  <si>
    <t>J487</t>
  </si>
  <si>
    <t>J488</t>
  </si>
  <si>
    <t>J489</t>
  </si>
  <si>
    <t>J490</t>
  </si>
  <si>
    <t>J491</t>
  </si>
  <si>
    <t>J492</t>
  </si>
  <si>
    <t>J493</t>
  </si>
  <si>
    <t>J494</t>
  </si>
  <si>
    <t>J495</t>
  </si>
  <si>
    <t>J496</t>
  </si>
  <si>
    <t>J497</t>
  </si>
  <si>
    <t>J498</t>
  </si>
  <si>
    <t>J499</t>
  </si>
  <si>
    <t>J500</t>
  </si>
  <si>
    <t>J501</t>
  </si>
  <si>
    <t>J502</t>
  </si>
  <si>
    <t>J503</t>
  </si>
  <si>
    <t>J504</t>
  </si>
  <si>
    <t>J505</t>
  </si>
  <si>
    <t>J506</t>
  </si>
  <si>
    <t>J507</t>
  </si>
  <si>
    <t>J508</t>
  </si>
  <si>
    <t>J509</t>
  </si>
  <si>
    <t>J510</t>
  </si>
  <si>
    <t>J511</t>
  </si>
  <si>
    <t>J512</t>
  </si>
  <si>
    <t>J513</t>
  </si>
  <si>
    <t>J514</t>
  </si>
  <si>
    <t>J515</t>
  </si>
  <si>
    <t>J516</t>
  </si>
  <si>
    <t>J517</t>
  </si>
  <si>
    <t>J518</t>
  </si>
  <si>
    <t>J519</t>
  </si>
  <si>
    <t>J520</t>
  </si>
  <si>
    <t>J521</t>
  </si>
  <si>
    <t>J522</t>
  </si>
  <si>
    <t>J523</t>
  </si>
  <si>
    <t>J524</t>
  </si>
  <si>
    <t>J525</t>
  </si>
  <si>
    <t>J526</t>
  </si>
  <si>
    <t>J527</t>
  </si>
  <si>
    <t>J528</t>
  </si>
  <si>
    <t>J529</t>
  </si>
  <si>
    <t>J530</t>
  </si>
  <si>
    <t>J531</t>
  </si>
  <si>
    <t>J532</t>
  </si>
  <si>
    <t>J533</t>
  </si>
  <si>
    <t>J534</t>
  </si>
  <si>
    <t>J535</t>
  </si>
  <si>
    <t>J536</t>
  </si>
  <si>
    <t>J537</t>
  </si>
  <si>
    <t>J538</t>
  </si>
  <si>
    <t>J539</t>
  </si>
  <si>
    <t>J540</t>
  </si>
  <si>
    <t>J541</t>
  </si>
  <si>
    <t>J542</t>
  </si>
  <si>
    <t>J543</t>
  </si>
  <si>
    <t>J544</t>
  </si>
  <si>
    <t>J545</t>
  </si>
  <si>
    <t>J546</t>
  </si>
  <si>
    <t>J547</t>
  </si>
  <si>
    <t>J548</t>
  </si>
  <si>
    <t>J549</t>
  </si>
  <si>
    <t>J550</t>
  </si>
  <si>
    <t>J551</t>
  </si>
  <si>
    <t>J552</t>
  </si>
  <si>
    <t>J553</t>
  </si>
  <si>
    <t>J554</t>
  </si>
  <si>
    <t>J555</t>
  </si>
  <si>
    <t>J556</t>
  </si>
  <si>
    <t>J557</t>
  </si>
  <si>
    <t>J558</t>
  </si>
  <si>
    <t>J559</t>
  </si>
  <si>
    <t>J560</t>
  </si>
  <si>
    <t>J561</t>
  </si>
  <si>
    <t>J562</t>
  </si>
  <si>
    <t>J563</t>
  </si>
  <si>
    <t>J564</t>
  </si>
  <si>
    <t>J565</t>
  </si>
  <si>
    <t>J566</t>
  </si>
  <si>
    <t>J567</t>
  </si>
  <si>
    <t>J568</t>
  </si>
  <si>
    <t>J569</t>
  </si>
  <si>
    <t>J570</t>
  </si>
  <si>
    <t>J571</t>
  </si>
  <si>
    <t>J572</t>
  </si>
  <si>
    <t>J573</t>
  </si>
  <si>
    <t>J574</t>
  </si>
  <si>
    <t>J575</t>
  </si>
  <si>
    <t>J576</t>
  </si>
  <si>
    <t>J577</t>
  </si>
  <si>
    <t>J578</t>
  </si>
  <si>
    <t>J579</t>
  </si>
  <si>
    <t>J580</t>
  </si>
  <si>
    <t>J581</t>
  </si>
  <si>
    <t>J582</t>
  </si>
  <si>
    <t>J583</t>
  </si>
  <si>
    <t>J584</t>
  </si>
  <si>
    <t>J585</t>
  </si>
  <si>
    <t>J586</t>
  </si>
  <si>
    <t>J587</t>
  </si>
  <si>
    <t>J588</t>
  </si>
  <si>
    <t>J589</t>
  </si>
  <si>
    <t>J590</t>
  </si>
  <si>
    <t>J591</t>
  </si>
  <si>
    <t>J592</t>
  </si>
  <si>
    <t>J593</t>
  </si>
  <si>
    <t>J594</t>
  </si>
  <si>
    <t>J595</t>
  </si>
  <si>
    <t>J596</t>
  </si>
  <si>
    <t>J597</t>
  </si>
  <si>
    <t>J598</t>
  </si>
  <si>
    <t>J599</t>
  </si>
  <si>
    <t>J600</t>
  </si>
  <si>
    <t>J601</t>
  </si>
  <si>
    <t>J602</t>
  </si>
  <si>
    <t>J603</t>
  </si>
  <si>
    <t>J604</t>
  </si>
  <si>
    <t>J605</t>
  </si>
  <si>
    <t>J606</t>
  </si>
  <si>
    <t>J607</t>
  </si>
  <si>
    <t>J608</t>
  </si>
  <si>
    <t>J609</t>
  </si>
  <si>
    <t>J610</t>
  </si>
  <si>
    <t>J611</t>
  </si>
  <si>
    <t>J612</t>
  </si>
  <si>
    <t>J613</t>
  </si>
  <si>
    <t>J614</t>
  </si>
  <si>
    <t>J615</t>
  </si>
  <si>
    <t>J616</t>
  </si>
  <si>
    <t>J617</t>
  </si>
  <si>
    <t>J618</t>
  </si>
  <si>
    <t>J619</t>
  </si>
  <si>
    <t>J620</t>
  </si>
  <si>
    <t>J621</t>
  </si>
  <si>
    <t>J622</t>
  </si>
  <si>
    <t>J623</t>
  </si>
  <si>
    <t>J624</t>
  </si>
  <si>
    <t>J625</t>
  </si>
  <si>
    <t>J626</t>
  </si>
  <si>
    <t>J627</t>
  </si>
  <si>
    <t>J628</t>
  </si>
  <si>
    <t>J629</t>
  </si>
  <si>
    <t>J630</t>
  </si>
  <si>
    <t>J631</t>
  </si>
  <si>
    <t>J632</t>
  </si>
  <si>
    <t>J633</t>
  </si>
  <si>
    <t>J634</t>
  </si>
  <si>
    <t>J635</t>
  </si>
  <si>
    <t>J636</t>
  </si>
  <si>
    <t>J637</t>
  </si>
  <si>
    <t>J638</t>
  </si>
  <si>
    <t>J639</t>
  </si>
  <si>
    <t>J640</t>
  </si>
  <si>
    <t>J641</t>
  </si>
  <si>
    <t>J642</t>
  </si>
  <si>
    <t>J643</t>
  </si>
  <si>
    <t>J644</t>
  </si>
  <si>
    <t>J645</t>
  </si>
  <si>
    <t>J646</t>
  </si>
  <si>
    <t>J647</t>
  </si>
  <si>
    <t>J648</t>
  </si>
  <si>
    <t>J649</t>
  </si>
  <si>
    <t>J650</t>
  </si>
  <si>
    <t>J651</t>
  </si>
  <si>
    <t>J652</t>
  </si>
  <si>
    <t>J653</t>
  </si>
  <si>
    <t>J654</t>
  </si>
  <si>
    <t>J655</t>
  </si>
  <si>
    <t>J656</t>
  </si>
  <si>
    <t>J657</t>
  </si>
  <si>
    <t>J658</t>
  </si>
  <si>
    <t>J659</t>
  </si>
  <si>
    <t>J660</t>
  </si>
  <si>
    <t>J661</t>
  </si>
  <si>
    <t>J662</t>
  </si>
  <si>
    <t>J663</t>
  </si>
  <si>
    <t>J664</t>
  </si>
  <si>
    <t>J665</t>
  </si>
  <si>
    <t>J666</t>
  </si>
  <si>
    <t>J667</t>
  </si>
  <si>
    <t>J668</t>
  </si>
  <si>
    <t>J669</t>
  </si>
  <si>
    <t>J670</t>
  </si>
  <si>
    <t>J671</t>
  </si>
  <si>
    <t>J672</t>
  </si>
  <si>
    <t>J673</t>
  </si>
  <si>
    <t>J674</t>
  </si>
  <si>
    <t>J675</t>
  </si>
  <si>
    <t>J676</t>
  </si>
  <si>
    <t>J677</t>
  </si>
  <si>
    <t>J678</t>
  </si>
  <si>
    <t>J679</t>
  </si>
  <si>
    <t>J680</t>
  </si>
  <si>
    <t>J681</t>
  </si>
  <si>
    <t>J682</t>
  </si>
  <si>
    <t>J683</t>
  </si>
  <si>
    <t>J684</t>
  </si>
  <si>
    <t>J685</t>
  </si>
  <si>
    <t>J686</t>
  </si>
  <si>
    <t>J687</t>
  </si>
  <si>
    <t>J688</t>
  </si>
  <si>
    <t>J689</t>
  </si>
  <si>
    <t>J690</t>
  </si>
  <si>
    <t>J691</t>
  </si>
  <si>
    <t>J692</t>
  </si>
  <si>
    <t>J693</t>
  </si>
  <si>
    <t>J694</t>
  </si>
  <si>
    <t>J695</t>
  </si>
  <si>
    <t>J696</t>
  </si>
  <si>
    <t>J697</t>
  </si>
  <si>
    <t>J698</t>
  </si>
  <si>
    <t>J699</t>
  </si>
  <si>
    <t>J700</t>
  </si>
  <si>
    <t>J701</t>
  </si>
  <si>
    <t>J702</t>
  </si>
  <si>
    <t>J703</t>
  </si>
  <si>
    <t>J704</t>
  </si>
  <si>
    <t>J705</t>
  </si>
  <si>
    <t>J706</t>
  </si>
  <si>
    <t>J707</t>
  </si>
  <si>
    <t>J708</t>
  </si>
  <si>
    <t>J709</t>
  </si>
  <si>
    <t>J710</t>
  </si>
  <si>
    <t>J711</t>
  </si>
  <si>
    <t>J712</t>
  </si>
  <si>
    <t>J713</t>
  </si>
  <si>
    <t>J714</t>
  </si>
  <si>
    <t>J715</t>
  </si>
  <si>
    <t>J716</t>
  </si>
  <si>
    <t>J717</t>
  </si>
  <si>
    <t>J718</t>
  </si>
  <si>
    <t>J719</t>
  </si>
  <si>
    <t>J720</t>
  </si>
  <si>
    <t>J721</t>
  </si>
  <si>
    <t>J722</t>
  </si>
  <si>
    <t>J723</t>
  </si>
  <si>
    <t>J724</t>
  </si>
  <si>
    <t>J725</t>
  </si>
  <si>
    <t>J726</t>
  </si>
  <si>
    <t>J727</t>
  </si>
  <si>
    <t>J728</t>
  </si>
  <si>
    <t>J729</t>
  </si>
  <si>
    <t>J730</t>
  </si>
  <si>
    <t>J731</t>
  </si>
  <si>
    <t>J732</t>
  </si>
  <si>
    <t>J733</t>
  </si>
  <si>
    <t>J734</t>
  </si>
  <si>
    <t>J735</t>
  </si>
  <si>
    <t>J736</t>
  </si>
  <si>
    <t>J737</t>
  </si>
  <si>
    <t>J738</t>
  </si>
  <si>
    <t>J739</t>
  </si>
  <si>
    <t>J740</t>
  </si>
  <si>
    <t>J741</t>
  </si>
  <si>
    <t>J742</t>
  </si>
  <si>
    <t>J743</t>
  </si>
  <si>
    <t>J744</t>
  </si>
  <si>
    <t>J745</t>
  </si>
  <si>
    <t>J746</t>
  </si>
  <si>
    <t>J747</t>
  </si>
  <si>
    <t>J748</t>
  </si>
  <si>
    <t>J749</t>
  </si>
  <si>
    <t>J750</t>
  </si>
  <si>
    <t>J751</t>
  </si>
  <si>
    <t>J752</t>
  </si>
  <si>
    <t>J753</t>
  </si>
  <si>
    <t>J754</t>
  </si>
  <si>
    <t>J755</t>
  </si>
  <si>
    <t>J756</t>
  </si>
  <si>
    <t>J757</t>
  </si>
  <si>
    <t>J758</t>
  </si>
  <si>
    <t>J759</t>
  </si>
  <si>
    <t>J760</t>
  </si>
  <si>
    <t>J761</t>
  </si>
  <si>
    <t>J762</t>
  </si>
  <si>
    <t>J763</t>
  </si>
  <si>
    <t>J764</t>
  </si>
  <si>
    <t>J765</t>
  </si>
  <si>
    <t>J766</t>
  </si>
  <si>
    <t>J767</t>
  </si>
  <si>
    <t>J768</t>
  </si>
  <si>
    <t>J769</t>
  </si>
  <si>
    <t>J770</t>
  </si>
  <si>
    <t>J771</t>
  </si>
  <si>
    <t>J772</t>
  </si>
  <si>
    <t>J773</t>
  </si>
  <si>
    <t>J774</t>
  </si>
  <si>
    <t>J775</t>
  </si>
  <si>
    <t>J776</t>
  </si>
  <si>
    <t>J777</t>
  </si>
  <si>
    <t>J778</t>
  </si>
  <si>
    <t>J779</t>
  </si>
  <si>
    <t>J780</t>
  </si>
  <si>
    <t>J781</t>
  </si>
  <si>
    <t>J782</t>
  </si>
  <si>
    <t>J783</t>
  </si>
  <si>
    <t>J784</t>
  </si>
  <si>
    <t>J785</t>
  </si>
  <si>
    <t>J786</t>
  </si>
  <si>
    <t>J787</t>
  </si>
  <si>
    <t>J788</t>
  </si>
  <si>
    <t>J789</t>
  </si>
  <si>
    <t>J790</t>
  </si>
  <si>
    <t>J791</t>
  </si>
  <si>
    <t>J792</t>
  </si>
  <si>
    <t>J793</t>
  </si>
  <si>
    <t>J794</t>
  </si>
  <si>
    <t>J795</t>
  </si>
  <si>
    <t>J796</t>
  </si>
  <si>
    <t>J797</t>
  </si>
  <si>
    <t>J798</t>
  </si>
  <si>
    <t>J799</t>
  </si>
  <si>
    <t>J800</t>
  </si>
  <si>
    <t>J801</t>
  </si>
  <si>
    <t>J802</t>
  </si>
  <si>
    <t>J803</t>
  </si>
  <si>
    <t>J804</t>
  </si>
  <si>
    <t>J805</t>
  </si>
  <si>
    <t>J806</t>
  </si>
  <si>
    <t>J807</t>
  </si>
  <si>
    <t>J808</t>
  </si>
  <si>
    <t>J809</t>
  </si>
  <si>
    <t>J810</t>
  </si>
  <si>
    <t>J811</t>
  </si>
  <si>
    <t>J812</t>
  </si>
  <si>
    <t>J813</t>
  </si>
  <si>
    <t>J814</t>
  </si>
  <si>
    <t>J815</t>
  </si>
  <si>
    <t>J816</t>
  </si>
  <si>
    <t>J817</t>
  </si>
  <si>
    <t>J818</t>
  </si>
  <si>
    <t>J819</t>
  </si>
  <si>
    <t>J820</t>
  </si>
  <si>
    <t>J821</t>
  </si>
  <si>
    <t>J822</t>
  </si>
  <si>
    <t>J823</t>
  </si>
  <si>
    <t>J824</t>
  </si>
  <si>
    <t>J825</t>
  </si>
  <si>
    <t>J826</t>
  </si>
  <si>
    <t>J827</t>
  </si>
  <si>
    <t>J828</t>
  </si>
  <si>
    <t>J829</t>
  </si>
  <si>
    <t>J830</t>
  </si>
  <si>
    <t>J831</t>
  </si>
  <si>
    <t>J832</t>
  </si>
  <si>
    <t>J833</t>
  </si>
  <si>
    <t>J834</t>
  </si>
  <si>
    <t>J835</t>
  </si>
  <si>
    <t>J836</t>
  </si>
  <si>
    <t>J837</t>
  </si>
  <si>
    <t>J838</t>
  </si>
  <si>
    <t>J839</t>
  </si>
  <si>
    <t>J840</t>
  </si>
  <si>
    <t>J841</t>
  </si>
  <si>
    <t>J842</t>
  </si>
  <si>
    <t>J843</t>
  </si>
  <si>
    <t>J844</t>
  </si>
  <si>
    <t>J845</t>
  </si>
  <si>
    <t>J846</t>
  </si>
  <si>
    <t>J847</t>
  </si>
  <si>
    <t>J848</t>
  </si>
  <si>
    <t>J849</t>
  </si>
  <si>
    <t>J850</t>
  </si>
  <si>
    <t>J851</t>
  </si>
  <si>
    <t>J852</t>
  </si>
  <si>
    <t>J853</t>
  </si>
  <si>
    <t>J854</t>
  </si>
  <si>
    <t>J855</t>
  </si>
  <si>
    <t>J856</t>
  </si>
  <si>
    <t>J857</t>
  </si>
  <si>
    <t>J858</t>
  </si>
  <si>
    <t>J859</t>
  </si>
  <si>
    <t>J860</t>
  </si>
  <si>
    <t>J861</t>
  </si>
  <si>
    <t>J862</t>
  </si>
  <si>
    <t>J863</t>
  </si>
  <si>
    <t>J864</t>
  </si>
  <si>
    <t>J865</t>
  </si>
  <si>
    <t>J866</t>
  </si>
  <si>
    <t>J867</t>
  </si>
  <si>
    <t>J868</t>
  </si>
  <si>
    <t>J869</t>
  </si>
  <si>
    <t>J870</t>
  </si>
  <si>
    <t>J871</t>
  </si>
  <si>
    <t>J872</t>
  </si>
  <si>
    <t>J873</t>
  </si>
  <si>
    <t>J874</t>
  </si>
  <si>
    <t>J875</t>
  </si>
  <si>
    <t>J876</t>
  </si>
  <si>
    <t>J877</t>
  </si>
  <si>
    <t>J878</t>
  </si>
  <si>
    <t>J879</t>
  </si>
  <si>
    <t>J880</t>
  </si>
  <si>
    <t>J881</t>
  </si>
  <si>
    <t>J882</t>
  </si>
  <si>
    <t>J883</t>
  </si>
  <si>
    <t>J884</t>
  </si>
  <si>
    <t>J885</t>
  </si>
  <si>
    <t>J886</t>
  </si>
  <si>
    <t>J887</t>
  </si>
  <si>
    <t>J888</t>
  </si>
  <si>
    <t>J889</t>
  </si>
  <si>
    <t>J890</t>
  </si>
  <si>
    <t>J891</t>
  </si>
  <si>
    <t>J892</t>
  </si>
  <si>
    <t>J893</t>
  </si>
  <si>
    <t>J894</t>
  </si>
  <si>
    <t>J895</t>
  </si>
  <si>
    <t>J896</t>
  </si>
  <si>
    <t>J897</t>
  </si>
  <si>
    <t>J898</t>
  </si>
  <si>
    <t>J899</t>
  </si>
  <si>
    <t>J900</t>
  </si>
  <si>
    <t>J901</t>
  </si>
  <si>
    <t>J902</t>
  </si>
  <si>
    <t>J903</t>
  </si>
  <si>
    <t>J904</t>
  </si>
  <si>
    <t>J905</t>
  </si>
  <si>
    <t>J906</t>
  </si>
  <si>
    <t>J907</t>
  </si>
  <si>
    <t>J908</t>
  </si>
  <si>
    <t>J909</t>
  </si>
  <si>
    <t>J910</t>
  </si>
  <si>
    <t>J911</t>
  </si>
  <si>
    <t>J912</t>
  </si>
  <si>
    <t>J913</t>
  </si>
  <si>
    <t>J914</t>
  </si>
  <si>
    <t>J915</t>
  </si>
  <si>
    <t>J916</t>
  </si>
  <si>
    <t>J917</t>
  </si>
  <si>
    <t>J918</t>
  </si>
  <si>
    <t>J919</t>
  </si>
  <si>
    <t>J920</t>
  </si>
  <si>
    <t>J921</t>
  </si>
  <si>
    <t>J922</t>
  </si>
  <si>
    <t>J923</t>
  </si>
  <si>
    <t>J924</t>
  </si>
  <si>
    <t>J925</t>
  </si>
  <si>
    <t>J926</t>
  </si>
  <si>
    <t>J927</t>
  </si>
  <si>
    <t>J928</t>
  </si>
  <si>
    <t>J929</t>
  </si>
  <si>
    <t>J930</t>
  </si>
  <si>
    <t>J931</t>
  </si>
  <si>
    <t>J932</t>
  </si>
  <si>
    <t>J933</t>
  </si>
  <si>
    <t>J934</t>
  </si>
  <si>
    <t>J935</t>
  </si>
  <si>
    <t>J936</t>
  </si>
  <si>
    <t>J937</t>
  </si>
  <si>
    <t>J938</t>
  </si>
  <si>
    <t>J939</t>
  </si>
  <si>
    <t>J940</t>
  </si>
  <si>
    <t>J941</t>
  </si>
  <si>
    <t>J942</t>
  </si>
  <si>
    <t>J943</t>
  </si>
  <si>
    <t>J944</t>
  </si>
  <si>
    <t>J945</t>
  </si>
  <si>
    <t>J946</t>
  </si>
  <si>
    <t>J947</t>
  </si>
  <si>
    <t>J948</t>
  </si>
  <si>
    <t>J949</t>
  </si>
  <si>
    <t>J950</t>
  </si>
  <si>
    <t>J951</t>
  </si>
  <si>
    <t>J952</t>
  </si>
  <si>
    <t>J953</t>
  </si>
  <si>
    <t>J954</t>
  </si>
  <si>
    <t>J955</t>
  </si>
  <si>
    <t>J956</t>
  </si>
  <si>
    <t>J957</t>
  </si>
  <si>
    <t>J958</t>
  </si>
  <si>
    <t>J959</t>
  </si>
  <si>
    <t>J960</t>
  </si>
  <si>
    <t>J961</t>
  </si>
  <si>
    <t>J962</t>
  </si>
  <si>
    <t>J963</t>
  </si>
  <si>
    <t>J964</t>
  </si>
  <si>
    <t>J965</t>
  </si>
  <si>
    <t>J966</t>
  </si>
  <si>
    <t>J967</t>
  </si>
  <si>
    <t>J968</t>
  </si>
  <si>
    <t>J969</t>
  </si>
  <si>
    <t>J970</t>
  </si>
  <si>
    <t>J971</t>
  </si>
  <si>
    <t>J972</t>
  </si>
  <si>
    <t>J973</t>
  </si>
  <si>
    <t>J974</t>
  </si>
  <si>
    <t>J975</t>
  </si>
  <si>
    <t>J976</t>
  </si>
  <si>
    <t>J977</t>
  </si>
  <si>
    <t>J978</t>
  </si>
  <si>
    <t>J979</t>
  </si>
  <si>
    <t>J980</t>
  </si>
  <si>
    <t>J981</t>
  </si>
  <si>
    <t>J982</t>
  </si>
  <si>
    <t>J983</t>
  </si>
  <si>
    <t>J984</t>
  </si>
  <si>
    <t>J985</t>
  </si>
  <si>
    <t>J986</t>
  </si>
  <si>
    <t>J987</t>
  </si>
  <si>
    <t>J988</t>
  </si>
  <si>
    <t>J989</t>
  </si>
  <si>
    <t>J990</t>
  </si>
  <si>
    <t>J991</t>
  </si>
  <si>
    <t>J992</t>
  </si>
  <si>
    <t>J993</t>
  </si>
  <si>
    <t>J994</t>
  </si>
  <si>
    <t>J995</t>
  </si>
  <si>
    <t>J996</t>
  </si>
  <si>
    <t>J997</t>
  </si>
  <si>
    <t>J998</t>
  </si>
  <si>
    <t>J999</t>
  </si>
  <si>
    <t>J1000</t>
  </si>
  <si>
    <t>Column Labels</t>
  </si>
  <si>
    <t>Grand Total</t>
  </si>
  <si>
    <t>Sum of Material_Used</t>
  </si>
  <si>
    <t>Sum of Processing_Time</t>
  </si>
  <si>
    <t>Sum of Energy_Consumption</t>
  </si>
  <si>
    <t>Row Labels</t>
  </si>
  <si>
    <t>Count of Optimization_Category</t>
  </si>
  <si>
    <t>Count of Job_Status</t>
  </si>
  <si>
    <t>Average of Machine_Availability</t>
  </si>
  <si>
    <t>Average of Processing_Time</t>
  </si>
  <si>
    <t>Defect</t>
  </si>
  <si>
    <t>Average of Material_Used</t>
  </si>
  <si>
    <t>Average of Energy_Consumption</t>
  </si>
  <si>
    <t>HYBRID MANUFACTURING DASHBOARD</t>
  </si>
  <si>
    <t>Quality</t>
  </si>
  <si>
    <t>Good</t>
  </si>
  <si>
    <t>Defect_rate</t>
  </si>
  <si>
    <t>Average of Defect_Rate</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</si>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</sst>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d/yy\ h:mm\ AM/PM;@"/>
    <numFmt numFmtId="165" formatCode="0.0"/>
  </numFmts>
  <fonts count="3" x14ac:knownFonts="1">
    <font>
      <sz val="11"/>
      <color theme="1"/>
      <name val="Aptos Narrow"/>
      <family val="2"/>
      <scheme val="minor"/>
    </font>
    <font>
      <b/>
      <sz val="18"/>
      <color theme="1"/>
      <name val="Aptos Narrow"/>
      <family val="2"/>
      <scheme val="minor"/>
    </font>
    <font>
      <b/>
      <sz val="48"/>
      <color theme="2" tint="-9.9978637043366805E-2"/>
      <name val="Californian FB"/>
      <family val="1"/>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0" fontId="0" fillId="0" borderId="0" xfId="0" applyAlignment="1">
      <alignment wrapText="1"/>
    </xf>
    <xf numFmtId="164" fontId="0" fillId="0" borderId="0" xfId="0" applyNumberFormat="1"/>
    <xf numFmtId="164" fontId="0" fillId="0" borderId="0" xfId="0" applyNumberFormat="1" applyAlignment="1">
      <alignment wrapText="1"/>
    </xf>
    <xf numFmtId="2" fontId="0" fillId="0" borderId="0" xfId="0" applyNumberFormat="1"/>
    <xf numFmtId="165" fontId="0" fillId="0" borderId="0" xfId="0" applyNumberFormat="1"/>
    <xf numFmtId="1" fontId="0" fillId="0" borderId="0" xfId="0" applyNumberFormat="1"/>
    <xf numFmtId="2" fontId="0" fillId="0" borderId="0" xfId="0" applyNumberFormat="1" applyAlignment="1">
      <alignment wrapText="1"/>
    </xf>
    <xf numFmtId="1" fontId="0" fillId="0" borderId="0" xfId="0" applyNumberFormat="1" applyAlignment="1">
      <alignment wrapText="1"/>
    </xf>
    <xf numFmtId="165" fontId="0" fillId="0" borderId="0" xfId="0" applyNumberFormat="1" applyAlignment="1">
      <alignment wrapText="1"/>
    </xf>
    <xf numFmtId="0" fontId="0" fillId="0" borderId="0" xfId="0" pivotButton="1"/>
    <xf numFmtId="0" fontId="0" fillId="0" borderId="0" xfId="0" applyAlignment="1">
      <alignment horizontal="left"/>
    </xf>
    <xf numFmtId="0" fontId="1" fillId="0" borderId="0" xfId="0" applyFont="1" applyAlignment="1">
      <alignment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14">
    <dxf>
      <numFmt numFmtId="1" formatCode="0"/>
    </dxf>
    <dxf>
      <numFmt numFmtId="0" formatCode="General"/>
    </dxf>
    <dxf>
      <font>
        <b/>
        <i val="0"/>
        <color theme="0"/>
      </font>
      <border>
        <left style="thin">
          <color auto="1"/>
        </left>
        <right style="thin">
          <color auto="1"/>
        </right>
        <top style="thin">
          <color auto="1"/>
        </top>
        <bottom style="thin">
          <color auto="1"/>
        </bottom>
      </border>
    </dxf>
    <dxf>
      <font>
        <color theme="2"/>
      </font>
      <fill>
        <patternFill>
          <bgColor theme="1" tint="0.34998626667073579"/>
        </patternFill>
      </fill>
    </dxf>
    <dxf>
      <fill>
        <patternFill>
          <bgColor theme="2" tint="-0.499984740745262"/>
        </patternFill>
      </fill>
    </dxf>
    <dxf>
      <font>
        <color auto="1"/>
      </font>
      <fill>
        <patternFill>
          <bgColor theme="1" tint="0.34998626667073579"/>
        </patternFill>
      </fill>
    </dxf>
    <dxf>
      <numFmt numFmtId="164" formatCode="[$-409]m/d/yy\ h:mm\ AM/PM;@"/>
    </dxf>
    <dxf>
      <numFmt numFmtId="164" formatCode="[$-409]m/d/yy\ h:mm\ AM/PM;@"/>
    </dxf>
    <dxf>
      <numFmt numFmtId="164" formatCode="[$-409]m/d/yy\ h:mm\ AM/PM;@"/>
    </dxf>
    <dxf>
      <numFmt numFmtId="164" formatCode="[$-409]m/d/yy\ h:mm\ AM/PM;@"/>
    </dxf>
    <dxf>
      <numFmt numFmtId="165" formatCode="0.0"/>
    </dxf>
    <dxf>
      <numFmt numFmtId="1" formatCode="0"/>
    </dxf>
    <dxf>
      <numFmt numFmtId="2" formatCode="0.00"/>
    </dxf>
    <dxf>
      <numFmt numFmtId="164" formatCode="[$-409]m/d/yy\ h:mm\ AM/PM;@"/>
    </dxf>
  </dxfs>
  <tableStyles count="4" defaultTableStyle="TableStyleMedium2" defaultPivotStyle="PivotStyleLight16">
    <tableStyle name="Slicer Style 1" pivot="0" table="0" count="1" xr9:uid="{9F0652FB-29CD-40A6-98F0-8AE82493A93F}">
      <tableStyleElement type="wholeTable" dxfId="5"/>
    </tableStyle>
    <tableStyle name="Slicer Style 2" pivot="0" table="0" count="1" xr9:uid="{A31A9555-8D5A-4217-979E-542DFF58228F}">
      <tableStyleElement type="wholeTable" dxfId="4"/>
    </tableStyle>
    <tableStyle name="Slicer Style 3" pivot="0" table="0" count="1" xr9:uid="{2306CB0D-86D7-4292-9F82-9EBCE14FA229}"/>
    <tableStyle name="Slicer Style 4" pivot="0" table="0" count="5" xr9:uid="{6EF449E7-4A96-4234-98B1-DEE4B617C759}">
      <tableStyleElement type="wholeTable" dxfId="3"/>
      <tableStyleElement type="headerRow" dxfId="2"/>
    </tableStyle>
  </tableStyles>
  <extLst>
    <ext xmlns:x14="http://schemas.microsoft.com/office/spreadsheetml/2009/9/main" uri="{46F421CA-312F-682f-3DD2-61675219B42D}">
      <x14:dxfs count="4">
        <dxf>
          <fill>
            <patternFill>
              <bgColor rgb="FFFF0000"/>
            </patternFill>
          </fill>
        </dxf>
        <dxf>
          <fill>
            <patternFill>
              <bgColor theme="9" tint="0.59996337778862885"/>
            </patternFill>
          </fill>
        </dxf>
        <dxf>
          <font>
            <color theme="2"/>
          </font>
          <fill>
            <patternFill>
              <bgColor rgb="FF92D050"/>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 type="selectedItemWithNoData" dxfId="0"/>
            <x14:slicerStyleElement type="hoveredUn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Material, Time &amp; Energy Consumption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90672911989876"/>
          <c:y val="0.17686587129731041"/>
          <c:w val="0.70943886836427761"/>
          <c:h val="0.44746587351209927"/>
        </c:manualLayout>
      </c:layout>
      <c:bar3DChart>
        <c:barDir val="col"/>
        <c:grouping val="clustered"/>
        <c:varyColors val="0"/>
        <c:ser>
          <c:idx val="0"/>
          <c:order val="0"/>
          <c:tx>
            <c:strRef>
              <c:f>pivot!$B$3:$B$4</c:f>
              <c:strCache>
                <c:ptCount val="1"/>
                <c:pt idx="0">
                  <c:v>Sum of Material_Used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pivot!$B$5:$B$10</c:f>
              <c:numCache>
                <c:formatCode>0.00</c:formatCode>
                <c:ptCount val="5"/>
                <c:pt idx="0">
                  <c:v>597.51</c:v>
                </c:pt>
                <c:pt idx="1">
                  <c:v>571.86999999999978</c:v>
                </c:pt>
                <c:pt idx="2">
                  <c:v>616.26999999999987</c:v>
                </c:pt>
                <c:pt idx="3">
                  <c:v>630.67000000000041</c:v>
                </c:pt>
                <c:pt idx="4">
                  <c:v>610.15999999999985</c:v>
                </c:pt>
              </c:numCache>
            </c:numRef>
          </c:val>
          <c:extLst>
            <c:ext xmlns:c16="http://schemas.microsoft.com/office/drawing/2014/chart" uri="{C3380CC4-5D6E-409C-BE32-E72D297353CC}">
              <c16:uniqueId val="{00000000-A136-4095-8ACC-E4EF56505C77}"/>
            </c:ext>
          </c:extLst>
        </c:ser>
        <c:ser>
          <c:idx val="1"/>
          <c:order val="1"/>
          <c:tx>
            <c:strRef>
              <c:f>pivot!$C$3:$C$4</c:f>
              <c:strCache>
                <c:ptCount val="1"/>
                <c:pt idx="0">
                  <c:v>Sum of Processing_Time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pivot!$C$5:$C$10</c:f>
              <c:numCache>
                <c:formatCode>0</c:formatCode>
                <c:ptCount val="5"/>
                <c:pt idx="0">
                  <c:v>13416</c:v>
                </c:pt>
                <c:pt idx="1">
                  <c:v>13508</c:v>
                </c:pt>
                <c:pt idx="2">
                  <c:v>15260</c:v>
                </c:pt>
                <c:pt idx="3">
                  <c:v>15088</c:v>
                </c:pt>
                <c:pt idx="4">
                  <c:v>14112</c:v>
                </c:pt>
              </c:numCache>
            </c:numRef>
          </c:val>
          <c:extLst>
            <c:ext xmlns:c16="http://schemas.microsoft.com/office/drawing/2014/chart" uri="{C3380CC4-5D6E-409C-BE32-E72D297353CC}">
              <c16:uniqueId val="{00000001-A136-4095-8ACC-E4EF56505C77}"/>
            </c:ext>
          </c:extLst>
        </c:ser>
        <c:ser>
          <c:idx val="2"/>
          <c:order val="2"/>
          <c:tx>
            <c:strRef>
              <c:f>pivot!$D$3:$D$4</c:f>
              <c:strCache>
                <c:ptCount val="1"/>
                <c:pt idx="0">
                  <c:v>Sum of Energy_Consumption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pivot!$D$5:$D$10</c:f>
              <c:numCache>
                <c:formatCode>0.0</c:formatCode>
                <c:ptCount val="5"/>
                <c:pt idx="0">
                  <c:v>1624.4499999999994</c:v>
                </c:pt>
                <c:pt idx="1">
                  <c:v>1674.68</c:v>
                </c:pt>
                <c:pt idx="2">
                  <c:v>1766.0499999999997</c:v>
                </c:pt>
                <c:pt idx="3">
                  <c:v>1797.4900000000005</c:v>
                </c:pt>
                <c:pt idx="4">
                  <c:v>1658.6700000000003</c:v>
                </c:pt>
              </c:numCache>
            </c:numRef>
          </c:val>
          <c:extLst>
            <c:ext xmlns:c16="http://schemas.microsoft.com/office/drawing/2014/chart" uri="{C3380CC4-5D6E-409C-BE32-E72D297353CC}">
              <c16:uniqueId val="{00000002-A136-4095-8ACC-E4EF56505C77}"/>
            </c:ext>
          </c:extLst>
        </c:ser>
        <c:dLbls>
          <c:showLegendKey val="0"/>
          <c:showVal val="0"/>
          <c:showCatName val="0"/>
          <c:showSerName val="0"/>
          <c:showPercent val="0"/>
          <c:showBubbleSize val="0"/>
        </c:dLbls>
        <c:gapWidth val="150"/>
        <c:shape val="box"/>
        <c:axId val="1624504784"/>
        <c:axId val="1624503344"/>
        <c:axId val="0"/>
      </c:bar3DChart>
      <c:catAx>
        <c:axId val="1624504784"/>
        <c:scaling>
          <c:orientation val="minMax"/>
        </c:scaling>
        <c:delete val="1"/>
        <c:axPos val="b"/>
        <c:numFmt formatCode="General" sourceLinked="1"/>
        <c:majorTickMark val="none"/>
        <c:minorTickMark val="none"/>
        <c:tickLblPos val="nextTo"/>
        <c:crossAx val="1624503344"/>
        <c:crosses val="autoZero"/>
        <c:auto val="1"/>
        <c:lblAlgn val="ctr"/>
        <c:lblOffset val="100"/>
        <c:noMultiLvlLbl val="0"/>
      </c:catAx>
      <c:valAx>
        <c:axId val="1624503344"/>
        <c:scaling>
          <c:orientation val="minMax"/>
        </c:scaling>
        <c:delete val="1"/>
        <c:axPos val="l"/>
        <c:numFmt formatCode="0.00" sourceLinked="1"/>
        <c:majorTickMark val="none"/>
        <c:minorTickMark val="none"/>
        <c:tickLblPos val="nextTo"/>
        <c:crossAx val="1624504784"/>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1.7976890432603393E-2"/>
          <c:y val="0.2841132411832793"/>
          <c:w val="0.24466834188327566"/>
          <c:h val="0.3247769350902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[Hybrid_manufacturing_project.xlsx]pivot!PivotTable2</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Efficiency of Operations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pivot!$B$11:$B$12</c:f>
              <c:strCache>
                <c:ptCount val="1"/>
                <c:pt idx="0">
                  <c:v>High Efficiency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pivot!$B$13:$B$18</c:f>
              <c:numCache>
                <c:formatCode>General</c:formatCode>
                <c:ptCount val="5"/>
                <c:pt idx="0">
                  <c:v>36</c:v>
                </c:pt>
                <c:pt idx="1">
                  <c:v>25</c:v>
                </c:pt>
                <c:pt idx="2">
                  <c:v>28</c:v>
                </c:pt>
                <c:pt idx="3">
                  <c:v>43</c:v>
                </c:pt>
                <c:pt idx="4">
                  <c:v>29</c:v>
                </c:pt>
              </c:numCache>
            </c:numRef>
          </c:val>
          <c:extLst>
            <c:ext xmlns:c16="http://schemas.microsoft.com/office/drawing/2014/chart" uri="{C3380CC4-5D6E-409C-BE32-E72D297353CC}">
              <c16:uniqueId val="{00000000-D8AD-41A3-B342-CE5C81F67117}"/>
            </c:ext>
          </c:extLst>
        </c:ser>
        <c:ser>
          <c:idx val="1"/>
          <c:order val="1"/>
          <c:tx>
            <c:strRef>
              <c:f>pivot!$C$11:$C$12</c:f>
              <c:strCache>
                <c:ptCount val="1"/>
                <c:pt idx="0">
                  <c:v>Low Efficiency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pivot!$C$13:$C$18</c:f>
              <c:numCache>
                <c:formatCode>General</c:formatCode>
                <c:ptCount val="5"/>
                <c:pt idx="0">
                  <c:v>115</c:v>
                </c:pt>
                <c:pt idx="1">
                  <c:v>117</c:v>
                </c:pt>
                <c:pt idx="2">
                  <c:v>152</c:v>
                </c:pt>
                <c:pt idx="3">
                  <c:v>131</c:v>
                </c:pt>
                <c:pt idx="4">
                  <c:v>135</c:v>
                </c:pt>
              </c:numCache>
            </c:numRef>
          </c:val>
          <c:extLst>
            <c:ext xmlns:c16="http://schemas.microsoft.com/office/drawing/2014/chart" uri="{C3380CC4-5D6E-409C-BE32-E72D297353CC}">
              <c16:uniqueId val="{00000012-D4A3-45CD-AC4F-E54EDA3EC987}"/>
            </c:ext>
          </c:extLst>
        </c:ser>
        <c:ser>
          <c:idx val="2"/>
          <c:order val="2"/>
          <c:tx>
            <c:strRef>
              <c:f>pivot!$D$11:$D$12</c:f>
              <c:strCache>
                <c:ptCount val="1"/>
                <c:pt idx="0">
                  <c:v>Moderate Efficiency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pivot!$D$13:$D$18</c:f>
              <c:numCache>
                <c:formatCode>General</c:formatCode>
                <c:ptCount val="5"/>
                <c:pt idx="0">
                  <c:v>36</c:v>
                </c:pt>
                <c:pt idx="1">
                  <c:v>47</c:v>
                </c:pt>
                <c:pt idx="2">
                  <c:v>28</c:v>
                </c:pt>
                <c:pt idx="3">
                  <c:v>38</c:v>
                </c:pt>
                <c:pt idx="4">
                  <c:v>34</c:v>
                </c:pt>
              </c:numCache>
            </c:numRef>
          </c:val>
          <c:extLst>
            <c:ext xmlns:c16="http://schemas.microsoft.com/office/drawing/2014/chart" uri="{C3380CC4-5D6E-409C-BE32-E72D297353CC}">
              <c16:uniqueId val="{00000013-D4A3-45CD-AC4F-E54EDA3EC987}"/>
            </c:ext>
          </c:extLst>
        </c:ser>
        <c:ser>
          <c:idx val="3"/>
          <c:order val="3"/>
          <c:tx>
            <c:strRef>
              <c:f>pivot!$E$11:$E$12</c:f>
              <c:strCache>
                <c:ptCount val="1"/>
                <c:pt idx="0">
                  <c:v>Optimal Efficiency</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pivot!$E$13:$E$18</c:f>
              <c:numCache>
                <c:formatCode>General</c:formatCode>
                <c:ptCount val="5"/>
                <c:pt idx="0">
                  <c:v>3</c:v>
                </c:pt>
                <c:pt idx="4">
                  <c:v>3</c:v>
                </c:pt>
              </c:numCache>
            </c:numRef>
          </c:val>
          <c:extLst>
            <c:ext xmlns:c16="http://schemas.microsoft.com/office/drawing/2014/chart" uri="{C3380CC4-5D6E-409C-BE32-E72D297353CC}">
              <c16:uniqueId val="{00000015-D4A3-45CD-AC4F-E54EDA3EC987}"/>
            </c:ext>
          </c:extLst>
        </c:ser>
        <c:dLbls>
          <c:showLegendKey val="0"/>
          <c:showVal val="0"/>
          <c:showCatName val="0"/>
          <c:showSerName val="0"/>
          <c:showPercent val="0"/>
          <c:showBubbleSize val="0"/>
        </c:dLbls>
        <c:gapWidth val="315"/>
        <c:overlap val="-40"/>
        <c:axId val="468565808"/>
        <c:axId val="468566768"/>
      </c:barChart>
      <c:catAx>
        <c:axId val="46856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6768"/>
        <c:crosses val="autoZero"/>
        <c:auto val="1"/>
        <c:lblAlgn val="ctr"/>
        <c:lblOffset val="100"/>
        <c:noMultiLvlLbl val="0"/>
      </c:catAx>
      <c:valAx>
        <c:axId val="4685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Operation</a:t>
            </a:r>
            <a:r>
              <a:rPr lang="en-US"/>
              <a:t> Availabity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9525" cap="flat" cmpd="sng" algn="ctr">
            <a:noFill/>
            <a:miter lim="800000"/>
          </a:ln>
          <a:effectLst/>
        </c:spPr>
      </c:pivotFmt>
    </c:pivotFmts>
    <c:plotArea>
      <c:layout/>
      <c:barChart>
        <c:barDir val="col"/>
        <c:grouping val="clustered"/>
        <c:varyColors val="0"/>
        <c:ser>
          <c:idx val="0"/>
          <c:order val="0"/>
          <c:tx>
            <c:strRef>
              <c:f>pivot!$B$20</c:f>
              <c:strCache>
                <c:ptCount val="1"/>
                <c:pt idx="0">
                  <c:v>Total</c:v>
                </c:pt>
              </c:strCache>
            </c:strRef>
          </c:tx>
          <c:spPr>
            <a:solidFill>
              <a:schemeClr val="bg1">
                <a:lumMod val="75000"/>
              </a:schemeClr>
            </a:solidFill>
            <a:ln w="9525" cap="flat" cmpd="sng" algn="ctr">
              <a:noFill/>
              <a:miter lim="800000"/>
            </a:ln>
            <a:effectLst/>
          </c:spPr>
          <c:invertIfNegative val="0"/>
          <c:cat>
            <c:strRef>
              <c:f>pivot!$A$21:$A$26</c:f>
              <c:strCache>
                <c:ptCount val="5"/>
                <c:pt idx="0">
                  <c:v>Additive</c:v>
                </c:pt>
                <c:pt idx="1">
                  <c:v>Drilling</c:v>
                </c:pt>
                <c:pt idx="2">
                  <c:v>Grinding</c:v>
                </c:pt>
                <c:pt idx="3">
                  <c:v>Lathe</c:v>
                </c:pt>
                <c:pt idx="4">
                  <c:v>Milling</c:v>
                </c:pt>
              </c:strCache>
            </c:strRef>
          </c:cat>
          <c:val>
            <c:numRef>
              <c:f>pivot!$B$21:$B$26</c:f>
              <c:numCache>
                <c:formatCode>General</c:formatCode>
                <c:ptCount val="5"/>
                <c:pt idx="0">
                  <c:v>89.647368421052633</c:v>
                </c:pt>
                <c:pt idx="1">
                  <c:v>89.100529100529101</c:v>
                </c:pt>
                <c:pt idx="2">
                  <c:v>88.807692307692307</c:v>
                </c:pt>
                <c:pt idx="3">
                  <c:v>89.056603773584911</c:v>
                </c:pt>
                <c:pt idx="4">
                  <c:v>89.243781094527364</c:v>
                </c:pt>
              </c:numCache>
            </c:numRef>
          </c:val>
          <c:extLst>
            <c:ext xmlns:c16="http://schemas.microsoft.com/office/drawing/2014/chart" uri="{C3380CC4-5D6E-409C-BE32-E72D297353CC}">
              <c16:uniqueId val="{00000000-F667-44FF-8E05-B43170A5B583}"/>
            </c:ext>
          </c:extLst>
        </c:ser>
        <c:dLbls>
          <c:showLegendKey val="0"/>
          <c:showVal val="0"/>
          <c:showCatName val="0"/>
          <c:showSerName val="0"/>
          <c:showPercent val="0"/>
          <c:showBubbleSize val="0"/>
        </c:dLbls>
        <c:gapWidth val="315"/>
        <c:overlap val="-40"/>
        <c:axId val="38094448"/>
        <c:axId val="38097808"/>
      </c:barChart>
      <c:catAx>
        <c:axId val="380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7808"/>
        <c:crosses val="autoZero"/>
        <c:auto val="1"/>
        <c:lblAlgn val="ctr"/>
        <c:lblOffset val="100"/>
        <c:noMultiLvlLbl val="0"/>
      </c:catAx>
      <c:valAx>
        <c:axId val="3809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Job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58-49B3-AEC0-FEFEC2AA82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58-49B3-AEC0-FEFEC2AA82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58-49B3-AEC0-FEFEC2AA82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pivot!$A$31:$A$34</c:f>
              <c:strCache>
                <c:ptCount val="3"/>
                <c:pt idx="0">
                  <c:v>Completed</c:v>
                </c:pt>
                <c:pt idx="1">
                  <c:v>Delayed</c:v>
                </c:pt>
                <c:pt idx="2">
                  <c:v>Failed</c:v>
                </c:pt>
              </c:strCache>
            </c:strRef>
          </c:cat>
          <c:val>
            <c:numRef>
              <c:f>pivot!$B$31:$B$34</c:f>
              <c:numCache>
                <c:formatCode>General</c:formatCode>
                <c:ptCount val="3"/>
                <c:pt idx="0">
                  <c:v>673</c:v>
                </c:pt>
                <c:pt idx="1">
                  <c:v>198</c:v>
                </c:pt>
                <c:pt idx="2">
                  <c:v>129</c:v>
                </c:pt>
              </c:numCache>
            </c:numRef>
          </c:val>
          <c:extLst>
            <c:ext xmlns:c16="http://schemas.microsoft.com/office/drawing/2014/chart" uri="{C3380CC4-5D6E-409C-BE32-E72D297353CC}">
              <c16:uniqueId val="{00000000-C4D3-4369-B37D-15E8DB1F3637}"/>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8C-4930-925A-E79DFF86F9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8C-4930-925A-E79DFF86F9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8C-4930-925A-E79DFF86F9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8C-4930-925A-E79DFF86F9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pivot!$A$40:$A$44</c:f>
              <c:strCache>
                <c:ptCount val="4"/>
                <c:pt idx="0">
                  <c:v>High Efficiency</c:v>
                </c:pt>
                <c:pt idx="1">
                  <c:v>Low Efficiency</c:v>
                </c:pt>
                <c:pt idx="2">
                  <c:v>Moderate Efficiency</c:v>
                </c:pt>
                <c:pt idx="3">
                  <c:v>Optimal Efficiency</c:v>
                </c:pt>
              </c:strCache>
            </c:strRef>
          </c:cat>
          <c:val>
            <c:numRef>
              <c:f>pivot!$B$40:$B$44</c:f>
              <c:numCache>
                <c:formatCode>General</c:formatCode>
                <c:ptCount val="4"/>
                <c:pt idx="0">
                  <c:v>161</c:v>
                </c:pt>
                <c:pt idx="1">
                  <c:v>650</c:v>
                </c:pt>
                <c:pt idx="2">
                  <c:v>183</c:v>
                </c:pt>
                <c:pt idx="3">
                  <c:v>6</c:v>
                </c:pt>
              </c:numCache>
            </c:numRef>
          </c:val>
          <c:extLst>
            <c:ext xmlns:c16="http://schemas.microsoft.com/office/drawing/2014/chart" uri="{C3380CC4-5D6E-409C-BE32-E72D297353CC}">
              <c16:uniqueId val="{00000000-256E-4800-94C4-F0CEDFB699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pivot!$A$55:$A$60</c:f>
              <c:strCache>
                <c:ptCount val="5"/>
                <c:pt idx="0">
                  <c:v>Additive</c:v>
                </c:pt>
                <c:pt idx="1">
                  <c:v>Drilling</c:v>
                </c:pt>
                <c:pt idx="2">
                  <c:v>Grinding</c:v>
                </c:pt>
                <c:pt idx="3">
                  <c:v>Lathe</c:v>
                </c:pt>
                <c:pt idx="4">
                  <c:v>Milling</c:v>
                </c:pt>
              </c:strCache>
            </c:strRef>
          </c:cat>
          <c:val>
            <c:numRef>
              <c:f>pivot!$B$55:$B$60</c:f>
              <c:numCache>
                <c:formatCode>0</c:formatCode>
                <c:ptCount val="5"/>
                <c:pt idx="0">
                  <c:v>13.157894736842104</c:v>
                </c:pt>
                <c:pt idx="1">
                  <c:v>11.111111111111111</c:v>
                </c:pt>
                <c:pt idx="2">
                  <c:v>12.01923076923077</c:v>
                </c:pt>
                <c:pt idx="3">
                  <c:v>14.622641509433961</c:v>
                </c:pt>
                <c:pt idx="4">
                  <c:v>13.432835820895523</c:v>
                </c:pt>
              </c:numCache>
            </c:numRef>
          </c:val>
          <c:extLst>
            <c:ext xmlns:c16="http://schemas.microsoft.com/office/drawing/2014/chart" uri="{C3380CC4-5D6E-409C-BE32-E72D297353CC}">
              <c16:uniqueId val="{00000000-2938-47CC-8F77-1644C14980C6}"/>
            </c:ext>
          </c:extLst>
        </c:ser>
        <c:dLbls>
          <c:dLblPos val="outEnd"/>
          <c:showLegendKey val="0"/>
          <c:showVal val="1"/>
          <c:showCatName val="0"/>
          <c:showSerName val="0"/>
          <c:showPercent val="0"/>
          <c:showBubbleSize val="0"/>
        </c:dLbls>
        <c:gapWidth val="115"/>
        <c:overlap val="-20"/>
        <c:axId val="1105788063"/>
        <c:axId val="1105771743"/>
      </c:barChart>
      <c:catAx>
        <c:axId val="1105788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71743"/>
        <c:crosses val="autoZero"/>
        <c:auto val="1"/>
        <c:lblAlgn val="ctr"/>
        <c:lblOffset val="100"/>
        <c:noMultiLvlLbl val="0"/>
      </c:catAx>
      <c:valAx>
        <c:axId val="110577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[Hybrid_manufacturing_project.xlsx]pivot!PivotTable2</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Efficiency of Operations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pivot!$B$11:$B$12</c:f>
              <c:strCache>
                <c:ptCount val="1"/>
                <c:pt idx="0">
                  <c:v>High Efficiency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pivot!$B$13:$B$18</c:f>
              <c:numCache>
                <c:formatCode>General</c:formatCode>
                <c:ptCount val="5"/>
                <c:pt idx="0">
                  <c:v>36</c:v>
                </c:pt>
                <c:pt idx="1">
                  <c:v>25</c:v>
                </c:pt>
                <c:pt idx="2">
                  <c:v>28</c:v>
                </c:pt>
                <c:pt idx="3">
                  <c:v>43</c:v>
                </c:pt>
                <c:pt idx="4">
                  <c:v>29</c:v>
                </c:pt>
              </c:numCache>
            </c:numRef>
          </c:val>
          <c:extLst>
            <c:ext xmlns:c16="http://schemas.microsoft.com/office/drawing/2014/chart" uri="{C3380CC4-5D6E-409C-BE32-E72D297353CC}">
              <c16:uniqueId val="{00000000-EEB8-40AD-9AF2-A4B8EF38F3C1}"/>
            </c:ext>
          </c:extLst>
        </c:ser>
        <c:ser>
          <c:idx val="1"/>
          <c:order val="1"/>
          <c:tx>
            <c:strRef>
              <c:f>pivot!$C$11:$C$12</c:f>
              <c:strCache>
                <c:ptCount val="1"/>
                <c:pt idx="0">
                  <c:v>Low Efficiency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pivot!$C$13:$C$18</c:f>
              <c:numCache>
                <c:formatCode>General</c:formatCode>
                <c:ptCount val="5"/>
                <c:pt idx="0">
                  <c:v>115</c:v>
                </c:pt>
                <c:pt idx="1">
                  <c:v>117</c:v>
                </c:pt>
                <c:pt idx="2">
                  <c:v>152</c:v>
                </c:pt>
                <c:pt idx="3">
                  <c:v>131</c:v>
                </c:pt>
                <c:pt idx="4">
                  <c:v>135</c:v>
                </c:pt>
              </c:numCache>
            </c:numRef>
          </c:val>
          <c:extLst>
            <c:ext xmlns:c16="http://schemas.microsoft.com/office/drawing/2014/chart" uri="{C3380CC4-5D6E-409C-BE32-E72D297353CC}">
              <c16:uniqueId val="{00000017-EEB8-40AD-9AF2-A4B8EF38F3C1}"/>
            </c:ext>
          </c:extLst>
        </c:ser>
        <c:ser>
          <c:idx val="2"/>
          <c:order val="2"/>
          <c:tx>
            <c:strRef>
              <c:f>pivot!$D$11:$D$12</c:f>
              <c:strCache>
                <c:ptCount val="1"/>
                <c:pt idx="0">
                  <c:v>Moderate Efficiency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pivot!$D$13:$D$18</c:f>
              <c:numCache>
                <c:formatCode>General</c:formatCode>
                <c:ptCount val="5"/>
                <c:pt idx="0">
                  <c:v>36</c:v>
                </c:pt>
                <c:pt idx="1">
                  <c:v>47</c:v>
                </c:pt>
                <c:pt idx="2">
                  <c:v>28</c:v>
                </c:pt>
                <c:pt idx="3">
                  <c:v>38</c:v>
                </c:pt>
                <c:pt idx="4">
                  <c:v>34</c:v>
                </c:pt>
              </c:numCache>
            </c:numRef>
          </c:val>
          <c:extLst>
            <c:ext xmlns:c16="http://schemas.microsoft.com/office/drawing/2014/chart" uri="{C3380CC4-5D6E-409C-BE32-E72D297353CC}">
              <c16:uniqueId val="{00000018-EEB8-40AD-9AF2-A4B8EF38F3C1}"/>
            </c:ext>
          </c:extLst>
        </c:ser>
        <c:ser>
          <c:idx val="3"/>
          <c:order val="3"/>
          <c:tx>
            <c:strRef>
              <c:f>pivot!$E$11:$E$12</c:f>
              <c:strCache>
                <c:ptCount val="1"/>
                <c:pt idx="0">
                  <c:v>Optimal Efficiency</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pivot!$E$13:$E$18</c:f>
              <c:numCache>
                <c:formatCode>General</c:formatCode>
                <c:ptCount val="5"/>
                <c:pt idx="0">
                  <c:v>3</c:v>
                </c:pt>
                <c:pt idx="4">
                  <c:v>3</c:v>
                </c:pt>
              </c:numCache>
            </c:numRef>
          </c:val>
          <c:extLst>
            <c:ext xmlns:c16="http://schemas.microsoft.com/office/drawing/2014/chart" uri="{C3380CC4-5D6E-409C-BE32-E72D297353CC}">
              <c16:uniqueId val="{0000001A-EEB8-40AD-9AF2-A4B8EF38F3C1}"/>
            </c:ext>
          </c:extLst>
        </c:ser>
        <c:dLbls>
          <c:showLegendKey val="0"/>
          <c:showVal val="0"/>
          <c:showCatName val="0"/>
          <c:showSerName val="0"/>
          <c:showPercent val="0"/>
          <c:showBubbleSize val="0"/>
        </c:dLbls>
        <c:gapWidth val="315"/>
        <c:overlap val="-40"/>
        <c:axId val="468565808"/>
        <c:axId val="468566768"/>
      </c:barChart>
      <c:catAx>
        <c:axId val="46856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6768"/>
        <c:crosses val="autoZero"/>
        <c:auto val="1"/>
        <c:lblAlgn val="ctr"/>
        <c:lblOffset val="100"/>
        <c:noMultiLvlLbl val="0"/>
      </c:catAx>
      <c:valAx>
        <c:axId val="4685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Operation</a:t>
            </a:r>
            <a:r>
              <a:rPr lang="en-US"/>
              <a:t> Availabity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bg1">
              <a:lumMod val="75000"/>
            </a:schemeClr>
          </a:solidFill>
          <a:ln w="9525" cap="flat" cmpd="sng" algn="ctr">
            <a:noFill/>
            <a:miter lim="800000"/>
          </a:ln>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9525" cap="flat" cmpd="sng" algn="ctr">
            <a:noFill/>
            <a:miter lim="800000"/>
          </a:ln>
          <a:effectLst/>
        </c:spPr>
      </c:pivotFmt>
      <c:pivotFmt>
        <c:idx val="2"/>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bg1">
                <a:lumMod val="75000"/>
              </a:schemeClr>
            </a:solidFill>
            <a:ln w="9525" cap="flat" cmpd="sng" algn="ctr">
              <a:noFill/>
              <a:miter lim="800000"/>
            </a:ln>
            <a:effectLst/>
          </c:spPr>
          <c:invertIfNegative val="0"/>
          <c:cat>
            <c:strRef>
              <c:f>pivot!$A$21:$A$26</c:f>
              <c:strCache>
                <c:ptCount val="5"/>
                <c:pt idx="0">
                  <c:v>Additive</c:v>
                </c:pt>
                <c:pt idx="1">
                  <c:v>Drilling</c:v>
                </c:pt>
                <c:pt idx="2">
                  <c:v>Grinding</c:v>
                </c:pt>
                <c:pt idx="3">
                  <c:v>Lathe</c:v>
                </c:pt>
                <c:pt idx="4">
                  <c:v>Milling</c:v>
                </c:pt>
              </c:strCache>
            </c:strRef>
          </c:cat>
          <c:val>
            <c:numRef>
              <c:f>pivot!$B$21:$B$26</c:f>
              <c:numCache>
                <c:formatCode>General</c:formatCode>
                <c:ptCount val="5"/>
                <c:pt idx="0">
                  <c:v>89.647368421052633</c:v>
                </c:pt>
                <c:pt idx="1">
                  <c:v>89.100529100529101</c:v>
                </c:pt>
                <c:pt idx="2">
                  <c:v>88.807692307692307</c:v>
                </c:pt>
                <c:pt idx="3">
                  <c:v>89.056603773584911</c:v>
                </c:pt>
                <c:pt idx="4">
                  <c:v>89.243781094527364</c:v>
                </c:pt>
              </c:numCache>
            </c:numRef>
          </c:val>
          <c:extLst>
            <c:ext xmlns:c16="http://schemas.microsoft.com/office/drawing/2014/chart" uri="{C3380CC4-5D6E-409C-BE32-E72D297353CC}">
              <c16:uniqueId val="{00000000-8F5C-4907-AADB-4EB45FD2F147}"/>
            </c:ext>
          </c:extLst>
        </c:ser>
        <c:dLbls>
          <c:showLegendKey val="0"/>
          <c:showVal val="0"/>
          <c:showCatName val="0"/>
          <c:showSerName val="0"/>
          <c:showPercent val="0"/>
          <c:showBubbleSize val="0"/>
        </c:dLbls>
        <c:gapWidth val="315"/>
        <c:overlap val="-40"/>
        <c:axId val="38094448"/>
        <c:axId val="38097808"/>
      </c:barChart>
      <c:catAx>
        <c:axId val="380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7808"/>
        <c:crosses val="autoZero"/>
        <c:auto val="1"/>
        <c:lblAlgn val="ctr"/>
        <c:lblOffset val="100"/>
        <c:noMultiLvlLbl val="0"/>
      </c:catAx>
      <c:valAx>
        <c:axId val="3809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pivot!$A$55:$A$60</c:f>
              <c:strCache>
                <c:ptCount val="5"/>
                <c:pt idx="0">
                  <c:v>Additive</c:v>
                </c:pt>
                <c:pt idx="1">
                  <c:v>Drilling</c:v>
                </c:pt>
                <c:pt idx="2">
                  <c:v>Grinding</c:v>
                </c:pt>
                <c:pt idx="3">
                  <c:v>Lathe</c:v>
                </c:pt>
                <c:pt idx="4">
                  <c:v>Milling</c:v>
                </c:pt>
              </c:strCache>
            </c:strRef>
          </c:cat>
          <c:val>
            <c:numRef>
              <c:f>pivot!$B$55:$B$60</c:f>
              <c:numCache>
                <c:formatCode>0</c:formatCode>
                <c:ptCount val="5"/>
                <c:pt idx="0">
                  <c:v>13.157894736842104</c:v>
                </c:pt>
                <c:pt idx="1">
                  <c:v>11.111111111111111</c:v>
                </c:pt>
                <c:pt idx="2">
                  <c:v>12.01923076923077</c:v>
                </c:pt>
                <c:pt idx="3">
                  <c:v>14.622641509433961</c:v>
                </c:pt>
                <c:pt idx="4">
                  <c:v>13.432835820895523</c:v>
                </c:pt>
              </c:numCache>
            </c:numRef>
          </c:val>
          <c:extLst>
            <c:ext xmlns:c16="http://schemas.microsoft.com/office/drawing/2014/chart" uri="{C3380CC4-5D6E-409C-BE32-E72D297353CC}">
              <c16:uniqueId val="{00000000-D1A7-4F6B-A494-554CEF70A992}"/>
            </c:ext>
          </c:extLst>
        </c:ser>
        <c:dLbls>
          <c:dLblPos val="outEnd"/>
          <c:showLegendKey val="0"/>
          <c:showVal val="1"/>
          <c:showCatName val="0"/>
          <c:showSerName val="0"/>
          <c:showPercent val="0"/>
          <c:showBubbleSize val="0"/>
        </c:dLbls>
        <c:gapWidth val="115"/>
        <c:overlap val="-20"/>
        <c:axId val="1105788063"/>
        <c:axId val="1105771743"/>
      </c:barChart>
      <c:catAx>
        <c:axId val="1105788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71743"/>
        <c:crosses val="autoZero"/>
        <c:auto val="1"/>
        <c:lblAlgn val="ctr"/>
        <c:lblOffset val="100"/>
        <c:noMultiLvlLbl val="0"/>
      </c:catAx>
      <c:valAx>
        <c:axId val="110577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Job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93-424B-8ED6-790D1F772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93-424B-8ED6-790D1F772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93-424B-8ED6-790D1F772F0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93-424B-8ED6-790D1F772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pivot!$A$31:$A$34</c:f>
              <c:strCache>
                <c:ptCount val="3"/>
                <c:pt idx="0">
                  <c:v>Completed</c:v>
                </c:pt>
                <c:pt idx="1">
                  <c:v>Delayed</c:v>
                </c:pt>
                <c:pt idx="2">
                  <c:v>Failed</c:v>
                </c:pt>
              </c:strCache>
            </c:strRef>
          </c:cat>
          <c:val>
            <c:numRef>
              <c:f>pivot!$B$31:$B$34</c:f>
              <c:numCache>
                <c:formatCode>General</c:formatCode>
                <c:ptCount val="3"/>
                <c:pt idx="0">
                  <c:v>673</c:v>
                </c:pt>
                <c:pt idx="1">
                  <c:v>198</c:v>
                </c:pt>
                <c:pt idx="2">
                  <c:v>129</c:v>
                </c:pt>
              </c:numCache>
            </c:numRef>
          </c:val>
          <c:extLst>
            <c:ext xmlns:c16="http://schemas.microsoft.com/office/drawing/2014/chart" uri="{C3380CC4-5D6E-409C-BE32-E72D297353CC}">
              <c16:uniqueId val="{00000008-BB93-424B-8ED6-790D1F772F0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manualLayout>
          <c:xMode val="edge"/>
          <c:yMode val="edge"/>
          <c:x val="0.74981297874806396"/>
          <c:y val="0.39661798616448879"/>
          <c:w val="0.23107096572205257"/>
          <c:h val="0.36499193781753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Material, Time &amp; Energy Consumption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90672911989876"/>
          <c:y val="0.17686587129731041"/>
          <c:w val="0.70943886836427761"/>
          <c:h val="0.44746587351209927"/>
        </c:manualLayout>
      </c:layout>
      <c:bar3DChart>
        <c:barDir val="col"/>
        <c:grouping val="clustered"/>
        <c:varyColors val="0"/>
        <c:ser>
          <c:idx val="0"/>
          <c:order val="0"/>
          <c:tx>
            <c:strRef>
              <c:f>pivot!$B$3:$B$4</c:f>
              <c:strCache>
                <c:ptCount val="1"/>
                <c:pt idx="0">
                  <c:v>Sum of Material_Used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pivot!$B$5:$B$10</c:f>
              <c:numCache>
                <c:formatCode>0.00</c:formatCode>
                <c:ptCount val="5"/>
                <c:pt idx="0">
                  <c:v>597.51</c:v>
                </c:pt>
                <c:pt idx="1">
                  <c:v>571.86999999999978</c:v>
                </c:pt>
                <c:pt idx="2">
                  <c:v>616.26999999999987</c:v>
                </c:pt>
                <c:pt idx="3">
                  <c:v>630.67000000000041</c:v>
                </c:pt>
                <c:pt idx="4">
                  <c:v>610.15999999999985</c:v>
                </c:pt>
              </c:numCache>
            </c:numRef>
          </c:val>
          <c:extLst>
            <c:ext xmlns:c16="http://schemas.microsoft.com/office/drawing/2014/chart" uri="{C3380CC4-5D6E-409C-BE32-E72D297353CC}">
              <c16:uniqueId val="{00000000-38FF-447A-B744-E28DE758B795}"/>
            </c:ext>
          </c:extLst>
        </c:ser>
        <c:ser>
          <c:idx val="1"/>
          <c:order val="1"/>
          <c:tx>
            <c:strRef>
              <c:f>pivot!$C$3:$C$4</c:f>
              <c:strCache>
                <c:ptCount val="1"/>
                <c:pt idx="0">
                  <c:v>Sum of Processing_Time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pivot!$C$5:$C$10</c:f>
              <c:numCache>
                <c:formatCode>0</c:formatCode>
                <c:ptCount val="5"/>
                <c:pt idx="0">
                  <c:v>13416</c:v>
                </c:pt>
                <c:pt idx="1">
                  <c:v>13508</c:v>
                </c:pt>
                <c:pt idx="2">
                  <c:v>15260</c:v>
                </c:pt>
                <c:pt idx="3">
                  <c:v>15088</c:v>
                </c:pt>
                <c:pt idx="4">
                  <c:v>14112</c:v>
                </c:pt>
              </c:numCache>
            </c:numRef>
          </c:val>
          <c:extLst>
            <c:ext xmlns:c16="http://schemas.microsoft.com/office/drawing/2014/chart" uri="{C3380CC4-5D6E-409C-BE32-E72D297353CC}">
              <c16:uniqueId val="{00000001-38FF-447A-B744-E28DE758B795}"/>
            </c:ext>
          </c:extLst>
        </c:ser>
        <c:ser>
          <c:idx val="2"/>
          <c:order val="2"/>
          <c:tx>
            <c:strRef>
              <c:f>pivot!$D$3:$D$4</c:f>
              <c:strCache>
                <c:ptCount val="1"/>
                <c:pt idx="0">
                  <c:v>Sum of Energy_Consumption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pivot!$D$5:$D$10</c:f>
              <c:numCache>
                <c:formatCode>0.0</c:formatCode>
                <c:ptCount val="5"/>
                <c:pt idx="0">
                  <c:v>1624.4499999999994</c:v>
                </c:pt>
                <c:pt idx="1">
                  <c:v>1674.68</c:v>
                </c:pt>
                <c:pt idx="2">
                  <c:v>1766.0499999999997</c:v>
                </c:pt>
                <c:pt idx="3">
                  <c:v>1797.4900000000005</c:v>
                </c:pt>
                <c:pt idx="4">
                  <c:v>1658.6700000000003</c:v>
                </c:pt>
              </c:numCache>
            </c:numRef>
          </c:val>
          <c:extLst>
            <c:ext xmlns:c16="http://schemas.microsoft.com/office/drawing/2014/chart" uri="{C3380CC4-5D6E-409C-BE32-E72D297353CC}">
              <c16:uniqueId val="{00000002-38FF-447A-B744-E28DE758B795}"/>
            </c:ext>
          </c:extLst>
        </c:ser>
        <c:dLbls>
          <c:showLegendKey val="0"/>
          <c:showVal val="0"/>
          <c:showCatName val="0"/>
          <c:showSerName val="0"/>
          <c:showPercent val="0"/>
          <c:showBubbleSize val="0"/>
        </c:dLbls>
        <c:gapWidth val="150"/>
        <c:shape val="box"/>
        <c:axId val="1624504784"/>
        <c:axId val="1624503344"/>
        <c:axId val="0"/>
      </c:bar3DChart>
      <c:catAx>
        <c:axId val="1624504784"/>
        <c:scaling>
          <c:orientation val="minMax"/>
        </c:scaling>
        <c:delete val="1"/>
        <c:axPos val="b"/>
        <c:numFmt formatCode="General" sourceLinked="1"/>
        <c:majorTickMark val="none"/>
        <c:minorTickMark val="none"/>
        <c:tickLblPos val="nextTo"/>
        <c:crossAx val="1624503344"/>
        <c:crosses val="autoZero"/>
        <c:auto val="1"/>
        <c:lblAlgn val="ctr"/>
        <c:lblOffset val="100"/>
        <c:noMultiLvlLbl val="0"/>
      </c:catAx>
      <c:valAx>
        <c:axId val="1624503344"/>
        <c:scaling>
          <c:orientation val="minMax"/>
        </c:scaling>
        <c:delete val="1"/>
        <c:axPos val="l"/>
        <c:numFmt formatCode="0.00" sourceLinked="1"/>
        <c:majorTickMark val="none"/>
        <c:minorTickMark val="none"/>
        <c:tickLblPos val="nextTo"/>
        <c:crossAx val="1624504784"/>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1.7976890432603393E-2"/>
          <c:y val="0.2841132411832793"/>
          <c:w val="0.24466834188327566"/>
          <c:h val="0.3247769350902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779764117468156E-2"/>
          <c:y val="0.24363370430651476"/>
          <c:w val="0.76059443749788769"/>
          <c:h val="0.4950237540139884"/>
        </c:manualLayout>
      </c:layout>
      <c:pieChart>
        <c:varyColors val="1"/>
        <c:ser>
          <c:idx val="0"/>
          <c:order val="0"/>
          <c:tx>
            <c:strRef>
              <c:f>pivot!$B$39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4C-40B2-B61D-519F7DECF4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4C-40B2-B61D-519F7DECF4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4C-40B2-B61D-519F7DECF4C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4C-40B2-B61D-519F7DECF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pivot!$A$40:$A$44</c:f>
              <c:strCache>
                <c:ptCount val="4"/>
                <c:pt idx="0">
                  <c:v>High Efficiency</c:v>
                </c:pt>
                <c:pt idx="1">
                  <c:v>Low Efficiency</c:v>
                </c:pt>
                <c:pt idx="2">
                  <c:v>Moderate Efficiency</c:v>
                </c:pt>
                <c:pt idx="3">
                  <c:v>Optimal Efficiency</c:v>
                </c:pt>
              </c:strCache>
            </c:strRef>
          </c:cat>
          <c:val>
            <c:numRef>
              <c:f>pivot!$B$40:$B$44</c:f>
              <c:numCache>
                <c:formatCode>General</c:formatCode>
                <c:ptCount val="4"/>
                <c:pt idx="0">
                  <c:v>161</c:v>
                </c:pt>
                <c:pt idx="1">
                  <c:v>650</c:v>
                </c:pt>
                <c:pt idx="2">
                  <c:v>183</c:v>
                </c:pt>
                <c:pt idx="3">
                  <c:v>6</c:v>
                </c:pt>
              </c:numCache>
            </c:numRef>
          </c:val>
          <c:extLst>
            <c:ext xmlns:c16="http://schemas.microsoft.com/office/drawing/2014/chart" uri="{C3380CC4-5D6E-409C-BE32-E72D297353CC}">
              <c16:uniqueId val="{00000008-8A4C-40B2-B61D-519F7DECF4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3058925574217387"/>
          <c:y val="0.74708206865203308"/>
          <c:w val="0.71443625877237449"/>
          <c:h val="0.2479295884103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996</xdr:colOff>
      <xdr:row>0</xdr:row>
      <xdr:rowOff>68705</xdr:rowOff>
    </xdr:from>
    <xdr:to>
      <xdr:col>32</xdr:col>
      <xdr:colOff>110169</xdr:colOff>
      <xdr:row>14</xdr:row>
      <xdr:rowOff>45904</xdr:rowOff>
    </xdr:to>
    <xdr:graphicFrame macro="">
      <xdr:nvGraphicFramePr>
        <xdr:cNvPr id="2" name="Chart 1">
          <a:extLst>
            <a:ext uri="{FF2B5EF4-FFF2-40B4-BE49-F238E27FC236}">
              <a16:creationId xmlns:a16="http://schemas.microsoft.com/office/drawing/2014/main" id="{C6C3AF66-3FB6-45FE-D0BD-5A670F0E8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4384</xdr:colOff>
      <xdr:row>28</xdr:row>
      <xdr:rowOff>55085</xdr:rowOff>
    </xdr:from>
    <xdr:to>
      <xdr:col>31</xdr:col>
      <xdr:colOff>82626</xdr:colOff>
      <xdr:row>43</xdr:row>
      <xdr:rowOff>73446</xdr:rowOff>
    </xdr:to>
    <xdr:graphicFrame macro="">
      <xdr:nvGraphicFramePr>
        <xdr:cNvPr id="4" name="Chart 3">
          <a:extLst>
            <a:ext uri="{FF2B5EF4-FFF2-40B4-BE49-F238E27FC236}">
              <a16:creationId xmlns:a16="http://schemas.microsoft.com/office/drawing/2014/main" id="{1C666133-527F-6548-B6F0-C880287D0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209654</xdr:colOff>
      <xdr:row>14</xdr:row>
      <xdr:rowOff>49967</xdr:rowOff>
    </xdr:from>
    <xdr:to>
      <xdr:col>29</xdr:col>
      <xdr:colOff>183615</xdr:colOff>
      <xdr:row>28</xdr:row>
      <xdr:rowOff>93689</xdr:rowOff>
    </xdr:to>
    <xdr:graphicFrame macro="">
      <xdr:nvGraphicFramePr>
        <xdr:cNvPr id="5" name="Chart 4">
          <a:extLst>
            <a:ext uri="{FF2B5EF4-FFF2-40B4-BE49-F238E27FC236}">
              <a16:creationId xmlns:a16="http://schemas.microsoft.com/office/drawing/2014/main" id="{668DDB86-C79B-DBDD-DC37-5B6AB1BBB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264160</xdr:colOff>
      <xdr:row>22</xdr:row>
      <xdr:rowOff>91440</xdr:rowOff>
    </xdr:from>
    <xdr:to>
      <xdr:col>7</xdr:col>
      <xdr:colOff>812800</xdr:colOff>
      <xdr:row>37</xdr:row>
      <xdr:rowOff>91440</xdr:rowOff>
    </xdr:to>
    <xdr:graphicFrame macro="">
      <xdr:nvGraphicFramePr>
        <xdr:cNvPr id="6" name="Chart 5">
          <a:extLst>
            <a:ext uri="{FF2B5EF4-FFF2-40B4-BE49-F238E27FC236}">
              <a16:creationId xmlns:a16="http://schemas.microsoft.com/office/drawing/2014/main" id="{9188CC89-9DD5-71A2-1358-E8010296B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125101</xdr:colOff>
      <xdr:row>41</xdr:row>
      <xdr:rowOff>115677</xdr:rowOff>
    </xdr:from>
    <xdr:to>
      <xdr:col>21</xdr:col>
      <xdr:colOff>312143</xdr:colOff>
      <xdr:row>56</xdr:row>
      <xdr:rowOff>115677</xdr:rowOff>
    </xdr:to>
    <xdr:graphicFrame macro="">
      <xdr:nvGraphicFramePr>
        <xdr:cNvPr id="7" name="Chart 6">
          <a:extLst>
            <a:ext uri="{FF2B5EF4-FFF2-40B4-BE49-F238E27FC236}">
              <a16:creationId xmlns:a16="http://schemas.microsoft.com/office/drawing/2014/main" id="{FAEED950-4F6A-ECB3-2418-A9447F6B5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128530</xdr:colOff>
      <xdr:row>49</xdr:row>
      <xdr:rowOff>19280</xdr:rowOff>
    </xdr:from>
    <xdr:to>
      <xdr:col>10</xdr:col>
      <xdr:colOff>0</xdr:colOff>
      <xdr:row>64</xdr:row>
      <xdr:rowOff>8263</xdr:rowOff>
    </xdr:to>
    <xdr:graphicFrame macro="">
      <xdr:nvGraphicFramePr>
        <xdr:cNvPr id="8" name="Chart 7">
          <a:extLst>
            <a:ext uri="{FF2B5EF4-FFF2-40B4-BE49-F238E27FC236}">
              <a16:creationId xmlns:a16="http://schemas.microsoft.com/office/drawing/2014/main" id="{029ECFDB-DB42-18E4-D6C4-BF0DD9343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19</xdr:row>
      <xdr:rowOff>160020</xdr:rowOff>
    </xdr:from>
    <xdr:to>
      <xdr:col>23</xdr:col>
      <xdr:colOff>7620</xdr:colOff>
      <xdr:row>37</xdr:row>
      <xdr:rowOff>129540</xdr:rowOff>
    </xdr:to>
    <xdr:graphicFrame macro="">
      <xdr:nvGraphicFramePr>
        <xdr:cNvPr id="9" name="Chart 8">
          <a:extLst>
            <a:ext uri="{FF2B5EF4-FFF2-40B4-BE49-F238E27FC236}">
              <a16:creationId xmlns:a16="http://schemas.microsoft.com/office/drawing/2014/main" id="{3F39347B-0395-47A1-B067-7FC450F1B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19</xdr:row>
      <xdr:rowOff>121920</xdr:rowOff>
    </xdr:from>
    <xdr:to>
      <xdr:col>9</xdr:col>
      <xdr:colOff>312420</xdr:colOff>
      <xdr:row>37</xdr:row>
      <xdr:rowOff>121920</xdr:rowOff>
    </xdr:to>
    <xdr:graphicFrame macro="">
      <xdr:nvGraphicFramePr>
        <xdr:cNvPr id="3" name="Chart 2">
          <a:extLst>
            <a:ext uri="{FF2B5EF4-FFF2-40B4-BE49-F238E27FC236}">
              <a16:creationId xmlns:a16="http://schemas.microsoft.com/office/drawing/2014/main" id="{23B24C7D-7451-4CD8-A7C2-9E57A7AA2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1</xdr:rowOff>
    </xdr:from>
    <xdr:to>
      <xdr:col>3</xdr:col>
      <xdr:colOff>0</xdr:colOff>
      <xdr:row>13</xdr:row>
      <xdr:rowOff>83821</xdr:rowOff>
    </xdr:to>
    <mc:AlternateContent xmlns:mc="http://schemas.openxmlformats.org/markup-compatibility/2006">
      <mc:Choice xmlns:a14="http://schemas.microsoft.com/office/drawing/2010/main" Requires="a14">
        <xdr:graphicFrame macro="">
          <xdr:nvGraphicFramePr>
            <xdr:cNvPr id="4" name="Machine_ID">
              <a:extLst>
                <a:ext uri="{FF2B5EF4-FFF2-40B4-BE49-F238E27FC236}">
                  <a16:creationId xmlns:a16="http://schemas.microsoft.com/office/drawing/2014/main" id="{5E4E4AC3-4211-E0B2-DFAC-954B098C57D4}"/>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dr:sp macro="" textlink="">
          <xdr:nvSpPr>
            <xdr:cNvPr id="0" name=""/>
            <xdr:cNvSpPr>
              <a:spLocks noTextEdit="1"/>
            </xdr:cNvSpPr>
          </xdr:nvSpPr>
          <xdr:spPr>
            <a:xfrm>
              <a:off x="0" y="548641"/>
              <a:ext cx="1828800" cy="1912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160020</xdr:rowOff>
    </xdr:from>
    <xdr:to>
      <xdr:col>3</xdr:col>
      <xdr:colOff>0</xdr:colOff>
      <xdr:row>36</xdr:row>
      <xdr:rowOff>167639</xdr:rowOff>
    </xdr:to>
    <mc:AlternateContent xmlns:mc="http://schemas.openxmlformats.org/markup-compatibility/2006">
      <mc:Choice xmlns:a14="http://schemas.microsoft.com/office/drawing/2010/main" Requires="a14">
        <xdr:graphicFrame macro="">
          <xdr:nvGraphicFramePr>
            <xdr:cNvPr id="7" name="Operation_Type">
              <a:extLst>
                <a:ext uri="{FF2B5EF4-FFF2-40B4-BE49-F238E27FC236}">
                  <a16:creationId xmlns:a16="http://schemas.microsoft.com/office/drawing/2014/main" id="{25E472F4-B146-463D-97CB-A6D82C7ADD17}"/>
                </a:ext>
              </a:extLst>
            </xdr:cNvPr>
            <xdr:cNvGraphicFramePr/>
          </xdr:nvGraphicFramePr>
          <xdr:xfrm>
            <a:off x="0" y="0"/>
            <a:ext cx="0" cy="0"/>
          </xdr:xfrm>
          <a:graphic>
            <a:graphicData uri="http://schemas.microsoft.com/office/drawing/2010/slicer">
              <sle:slicer xmlns:sle="http://schemas.microsoft.com/office/drawing/2010/slicer" name="Operation_Type"/>
            </a:graphicData>
          </a:graphic>
        </xdr:graphicFrame>
      </mc:Choice>
      <mc:Fallback>
        <xdr:sp macro="" textlink="">
          <xdr:nvSpPr>
            <xdr:cNvPr id="0" name=""/>
            <xdr:cNvSpPr>
              <a:spLocks noTextEdit="1"/>
            </xdr:cNvSpPr>
          </xdr:nvSpPr>
          <xdr:spPr>
            <a:xfrm>
              <a:off x="0" y="4000500"/>
              <a:ext cx="1828800" cy="2750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83820</xdr:rowOff>
    </xdr:from>
    <xdr:to>
      <xdr:col>3</xdr:col>
      <xdr:colOff>0</xdr:colOff>
      <xdr:row>21</xdr:row>
      <xdr:rowOff>152400</xdr:rowOff>
    </xdr:to>
    <mc:AlternateContent xmlns:mc="http://schemas.openxmlformats.org/markup-compatibility/2006">
      <mc:Choice xmlns:a14="http://schemas.microsoft.com/office/drawing/2010/main" Requires="a14">
        <xdr:graphicFrame macro="">
          <xdr:nvGraphicFramePr>
            <xdr:cNvPr id="12" name="Quality">
              <a:extLst>
                <a:ext uri="{FF2B5EF4-FFF2-40B4-BE49-F238E27FC236}">
                  <a16:creationId xmlns:a16="http://schemas.microsoft.com/office/drawing/2014/main" id="{67EFDE31-521C-7ACD-347E-3AE2803B33C7}"/>
                </a:ext>
              </a:extLst>
            </xdr:cNvPr>
            <xdr:cNvGraphicFramePr/>
          </xdr:nvGraphicFramePr>
          <xdr:xfrm>
            <a:off x="0" y="0"/>
            <a:ext cx="0" cy="0"/>
          </xdr:xfrm>
          <a:graphic>
            <a:graphicData uri="http://schemas.microsoft.com/office/drawing/2010/slicer">
              <sle:slicer xmlns:sle="http://schemas.microsoft.com/office/drawing/2010/slicer" name="Quality"/>
            </a:graphicData>
          </a:graphic>
        </xdr:graphicFrame>
      </mc:Choice>
      <mc:Fallback>
        <xdr:sp macro="" textlink="">
          <xdr:nvSpPr>
            <xdr:cNvPr id="0" name=""/>
            <xdr:cNvSpPr>
              <a:spLocks noTextEdit="1"/>
            </xdr:cNvSpPr>
          </xdr:nvSpPr>
          <xdr:spPr>
            <a:xfrm>
              <a:off x="0" y="2461260"/>
              <a:ext cx="1828800" cy="153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152400</xdr:colOff>
      <xdr:row>19</xdr:row>
      <xdr:rowOff>144780</xdr:rowOff>
    </xdr:from>
    <xdr:to>
      <xdr:col>16</xdr:col>
      <xdr:colOff>342900</xdr:colOff>
      <xdr:row>37</xdr:row>
      <xdr:rowOff>121920</xdr:rowOff>
    </xdr:to>
    <xdr:graphicFrame macro="">
      <xdr:nvGraphicFramePr>
        <xdr:cNvPr id="10" name="Chart 9">
          <a:extLst>
            <a:ext uri="{FF2B5EF4-FFF2-40B4-BE49-F238E27FC236}">
              <a16:creationId xmlns:a16="http://schemas.microsoft.com/office/drawing/2014/main" id="{A93D4EAF-CB6C-41EE-84DC-866DBE065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601980</xdr:colOff>
      <xdr:row>3</xdr:row>
      <xdr:rowOff>7620</xdr:rowOff>
    </xdr:from>
    <xdr:to>
      <xdr:col>9</xdr:col>
      <xdr:colOff>152400</xdr:colOff>
      <xdr:row>20</xdr:row>
      <xdr:rowOff>7619</xdr:rowOff>
    </xdr:to>
    <xdr:graphicFrame macro="">
      <xdr:nvGraphicFramePr>
        <xdr:cNvPr id="5" name="Chart 4">
          <a:extLst>
            <a:ext uri="{FF2B5EF4-FFF2-40B4-BE49-F238E27FC236}">
              <a16:creationId xmlns:a16="http://schemas.microsoft.com/office/drawing/2014/main" id="{53CB1CF1-29AE-4E82-B485-575AB4869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152400</xdr:colOff>
      <xdr:row>3</xdr:row>
      <xdr:rowOff>1</xdr:rowOff>
    </xdr:from>
    <xdr:to>
      <xdr:col>19</xdr:col>
      <xdr:colOff>601980</xdr:colOff>
      <xdr:row>20</xdr:row>
      <xdr:rowOff>7619</xdr:rowOff>
    </xdr:to>
    <xdr:graphicFrame macro="">
      <xdr:nvGraphicFramePr>
        <xdr:cNvPr id="2" name="Chart 1">
          <a:extLst>
            <a:ext uri="{FF2B5EF4-FFF2-40B4-BE49-F238E27FC236}">
              <a16:creationId xmlns:a16="http://schemas.microsoft.com/office/drawing/2014/main" id="{B1B460CD-C1DF-4EC7-81DA-F51D3106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259080</xdr:colOff>
      <xdr:row>3</xdr:row>
      <xdr:rowOff>7620</xdr:rowOff>
    </xdr:from>
    <xdr:to>
      <xdr:col>23</xdr:col>
      <xdr:colOff>0</xdr:colOff>
      <xdr:row>20</xdr:row>
      <xdr:rowOff>7619</xdr:rowOff>
    </xdr:to>
    <xdr:graphicFrame macro="">
      <xdr:nvGraphicFramePr>
        <xdr:cNvPr id="8" name="Chart 7">
          <a:extLst>
            <a:ext uri="{FF2B5EF4-FFF2-40B4-BE49-F238E27FC236}">
              <a16:creationId xmlns:a16="http://schemas.microsoft.com/office/drawing/2014/main" id="{7C0561BF-C5AF-4AD8-9E0B-2167089EF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7.988986226854" createdVersion="8" refreshedVersion="8" minRefreshableVersion="3" recordCount="1000" xr:uid="{1CEFFD99-9DF9-44BB-A3B9-228952A51649}">
  <cacheSource type="worksheet">
    <worksheetSource name="Table1"/>
  </cacheSource>
  <cacheFields count="14">
    <cacheField name="Machine_ID" numFmtId="0">
      <sharedItems count="5">
        <s v="M01"/>
        <s v="M04"/>
        <s v="M02"/>
        <s v="M05"/>
        <s v="M03"/>
      </sharedItems>
    </cacheField>
    <cacheField name="Operation_Type" numFmtId="0">
      <sharedItems count="5">
        <s v="Grinding"/>
        <s v="Additive"/>
        <s v="Lathe"/>
        <s v="Milling"/>
        <s v="Drilling"/>
      </sharedItems>
    </cacheField>
    <cacheField name="Material_Used" numFmtId="2">
      <sharedItems containsSemiMixedTypes="0" containsString="0" containsNumber="1" minValue="1.01" maxValue="5"/>
    </cacheField>
    <cacheField name="Processing_Time" numFmtId="1">
      <sharedItems containsSemiMixedTypes="0" containsString="0" containsNumber="1" containsInteger="1" minValue="20" maxValue="120"/>
    </cacheField>
    <cacheField name="Energy_Consumption" numFmtId="165">
      <sharedItems containsSemiMixedTypes="0" containsString="0" containsNumber="1" minValue="2.0099999999999998" maxValue="14.98"/>
    </cacheField>
    <cacheField name="Machine_Availability" numFmtId="0">
      <sharedItems containsSemiMixedTypes="0" containsString="0" containsNumber="1" containsInteger="1" minValue="80" maxValue="99"/>
    </cacheField>
    <cacheField name="Scheduled_Start" numFmtId="164">
      <sharedItems containsSemiMixedTypes="0" containsNonDate="0" containsDate="1" containsString="0" minDate="2023-03-18T08:00:00" maxDate="2023-03-25T06:30:00"/>
    </cacheField>
    <cacheField name="Scheduled_End" numFmtId="164">
      <sharedItems containsSemiMixedTypes="0" containsNonDate="0" containsDate="1" containsString="0" minDate="2023-03-18T09:16:00" maxDate="2023-03-25T08:21:00"/>
    </cacheField>
    <cacheField name="Actual_Start" numFmtId="164">
      <sharedItems containsNonDate="0" containsDate="1" containsString="0" containsBlank="1" minDate="2023-03-18T08:05:00" maxDate="2023-03-25T06:29:00"/>
    </cacheField>
    <cacheField name="Actual_End" numFmtId="164">
      <sharedItems containsNonDate="0" containsDate="1" containsString="0" containsBlank="1" minDate="2023-03-18T09:21:00" maxDate="2023-03-25T08:20:00"/>
    </cacheField>
    <cacheField name="Job_Status" numFmtId="0">
      <sharedItems count="3">
        <s v="Completed"/>
        <s v="Delayed"/>
        <s v="Failed"/>
      </sharedItems>
    </cacheField>
    <cacheField name="Optimization_Category" numFmtId="0">
      <sharedItems count="4">
        <s v="Moderate Efficiency"/>
        <s v="Low Efficiency"/>
        <s v="High Efficiency"/>
        <s v="Optimal Efficiency"/>
      </sharedItems>
    </cacheField>
    <cacheField name="Quality" numFmtId="0">
      <sharedItems count="2">
        <s v="Good"/>
        <s v="Defect"/>
      </sharedItems>
    </cacheField>
    <cacheField name="Defect_rate" numFmtId="1">
      <sharedItems containsSemiMixedTypes="0" containsString="0" containsNumber="1" containsInteger="1" minValue="0" maxValue="100" count="2">
        <n v="0"/>
        <n v="100"/>
      </sharedItems>
    </cacheField>
  </cacheFields>
  <extLst>
    <ext xmlns:x14="http://schemas.microsoft.com/office/spreadsheetml/2009/9/main" uri="{725AE2AE-9491-48be-B2B4-4EB974FC3084}">
      <x14:pivotCacheDefinition pivotCacheId="52135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3.17"/>
    <n v="76"/>
    <n v="11.42"/>
    <n v="96"/>
    <d v="2023-03-18T08:00:00"/>
    <d v="2023-03-18T09:16:00"/>
    <d v="2023-03-18T08:05:00"/>
    <d v="2023-03-18T09:21:00"/>
    <x v="0"/>
    <x v="0"/>
    <x v="0"/>
    <x v="0"/>
  </r>
  <r>
    <x v="0"/>
    <x v="0"/>
    <n v="3.35"/>
    <n v="79"/>
    <n v="6.61"/>
    <n v="84"/>
    <d v="2023-03-18T08:10:00"/>
    <d v="2023-03-18T09:29:00"/>
    <d v="2023-03-18T08:20:00"/>
    <d v="2023-03-18T09:39:00"/>
    <x v="1"/>
    <x v="1"/>
    <x v="0"/>
    <x v="0"/>
  </r>
  <r>
    <x v="1"/>
    <x v="1"/>
    <n v="2.29"/>
    <n v="56"/>
    <n v="11.11"/>
    <n v="92"/>
    <d v="2023-03-18T08:20:00"/>
    <d v="2023-03-18T09:16:00"/>
    <m/>
    <m/>
    <x v="2"/>
    <x v="1"/>
    <x v="1"/>
    <x v="1"/>
  </r>
  <r>
    <x v="1"/>
    <x v="0"/>
    <n v="1.76"/>
    <n v="106"/>
    <n v="12.5"/>
    <n v="95"/>
    <d v="2023-03-18T08:30:00"/>
    <d v="2023-03-18T10:16:00"/>
    <d v="2023-03-18T08:35:00"/>
    <d v="2023-03-18T10:21:00"/>
    <x v="0"/>
    <x v="0"/>
    <x v="0"/>
    <x v="0"/>
  </r>
  <r>
    <x v="0"/>
    <x v="2"/>
    <n v="1.9"/>
    <n v="46"/>
    <n v="8.1300000000000008"/>
    <n v="88"/>
    <d v="2023-03-18T08:40:00"/>
    <d v="2023-03-18T09:26:00"/>
    <d v="2023-03-18T08:42:00"/>
    <d v="2023-03-18T09:28:00"/>
    <x v="0"/>
    <x v="2"/>
    <x v="0"/>
    <x v="0"/>
  </r>
  <r>
    <x v="2"/>
    <x v="1"/>
    <n v="4.8600000000000003"/>
    <n v="100"/>
    <n v="13.83"/>
    <n v="86"/>
    <d v="2023-03-18T08:50:00"/>
    <d v="2023-03-18T10:30:00"/>
    <d v="2023-03-18T08:53:00"/>
    <d v="2023-03-18T10:33:00"/>
    <x v="0"/>
    <x v="0"/>
    <x v="0"/>
    <x v="0"/>
  </r>
  <r>
    <x v="1"/>
    <x v="3"/>
    <n v="4.67"/>
    <n v="22"/>
    <n v="14.2"/>
    <n v="87"/>
    <d v="2023-03-18T09:00:00"/>
    <d v="2023-03-18T09:22:00"/>
    <d v="2023-03-18T09:04:00"/>
    <d v="2023-03-18T09:26:00"/>
    <x v="0"/>
    <x v="0"/>
    <x v="0"/>
    <x v="0"/>
  </r>
  <r>
    <x v="3"/>
    <x v="0"/>
    <n v="1.57"/>
    <n v="79"/>
    <n v="13.86"/>
    <n v="91"/>
    <d v="2023-03-18T09:10:00"/>
    <d v="2023-03-18T10:29:00"/>
    <d v="2023-03-18T09:08:00"/>
    <d v="2023-03-18T10:27:00"/>
    <x v="0"/>
    <x v="1"/>
    <x v="0"/>
    <x v="0"/>
  </r>
  <r>
    <x v="2"/>
    <x v="4"/>
    <n v="3.49"/>
    <n v="42"/>
    <n v="8.9700000000000006"/>
    <n v="81"/>
    <d v="2023-03-18T09:20:00"/>
    <d v="2023-03-18T10:02:00"/>
    <d v="2023-03-18T09:23:00"/>
    <d v="2023-03-18T10:05:00"/>
    <x v="0"/>
    <x v="0"/>
    <x v="0"/>
    <x v="0"/>
  </r>
  <r>
    <x v="0"/>
    <x v="4"/>
    <n v="2.1"/>
    <n v="27"/>
    <n v="3.66"/>
    <n v="97"/>
    <d v="2023-03-18T09:30:00"/>
    <d v="2023-03-18T09:57:00"/>
    <d v="2023-03-18T09:54:00"/>
    <d v="2023-03-18T10:21:00"/>
    <x v="1"/>
    <x v="1"/>
    <x v="0"/>
    <x v="0"/>
  </r>
  <r>
    <x v="0"/>
    <x v="2"/>
    <n v="3.02"/>
    <n v="65"/>
    <n v="9.98"/>
    <n v="90"/>
    <d v="2023-03-18T09:40:00"/>
    <d v="2023-03-18T10:45:00"/>
    <d v="2023-03-18T09:38:00"/>
    <d v="2023-03-18T10:43:00"/>
    <x v="0"/>
    <x v="1"/>
    <x v="0"/>
    <x v="0"/>
  </r>
  <r>
    <x v="4"/>
    <x v="0"/>
    <n v="2.71"/>
    <n v="28"/>
    <n v="8.08"/>
    <n v="88"/>
    <d v="2023-03-18T09:50:00"/>
    <d v="2023-03-18T10:18:00"/>
    <d v="2023-03-18T10:15:00"/>
    <d v="2023-03-18T10:43:00"/>
    <x v="1"/>
    <x v="1"/>
    <x v="0"/>
    <x v="0"/>
  </r>
  <r>
    <x v="4"/>
    <x v="2"/>
    <n v="3.1"/>
    <n v="43"/>
    <n v="5.55"/>
    <n v="95"/>
    <d v="2023-03-18T10:00:00"/>
    <d v="2023-03-18T10:43:00"/>
    <d v="2023-03-18T10:05:00"/>
    <d v="2023-03-18T10:48:00"/>
    <x v="0"/>
    <x v="2"/>
    <x v="0"/>
    <x v="0"/>
  </r>
  <r>
    <x v="1"/>
    <x v="1"/>
    <n v="2.33"/>
    <n v="112"/>
    <n v="2.0099999999999998"/>
    <n v="95"/>
    <d v="2023-03-18T10:10:00"/>
    <d v="2023-03-18T12:02:00"/>
    <d v="2023-03-18T10:10:00"/>
    <d v="2023-03-18T12:02:00"/>
    <x v="0"/>
    <x v="3"/>
    <x v="0"/>
    <x v="0"/>
  </r>
  <r>
    <x v="3"/>
    <x v="1"/>
    <n v="3.92"/>
    <n v="104"/>
    <n v="3.67"/>
    <n v="98"/>
    <d v="2023-03-18T10:20:00"/>
    <d v="2023-03-18T12:04:00"/>
    <d v="2023-03-18T10:24:00"/>
    <d v="2023-03-18T12:08:00"/>
    <x v="0"/>
    <x v="2"/>
    <x v="0"/>
    <x v="0"/>
  </r>
  <r>
    <x v="0"/>
    <x v="1"/>
    <n v="2.09"/>
    <n v="65"/>
    <n v="12.29"/>
    <n v="96"/>
    <d v="2023-03-18T10:30:00"/>
    <d v="2023-03-18T11:35:00"/>
    <d v="2023-03-18T10:28:00"/>
    <d v="2023-03-18T11:33:00"/>
    <x v="0"/>
    <x v="1"/>
    <x v="0"/>
    <x v="0"/>
  </r>
  <r>
    <x v="4"/>
    <x v="2"/>
    <n v="4.3"/>
    <n v="115"/>
    <n v="9.44"/>
    <n v="80"/>
    <d v="2023-03-18T10:40:00"/>
    <d v="2023-03-18T12:35:00"/>
    <d v="2023-03-18T10:37:00"/>
    <d v="2023-03-18T12:32:00"/>
    <x v="0"/>
    <x v="1"/>
    <x v="0"/>
    <x v="0"/>
  </r>
  <r>
    <x v="3"/>
    <x v="2"/>
    <n v="2.25"/>
    <n v="55"/>
    <n v="10.95"/>
    <n v="94"/>
    <d v="2023-03-18T10:50:00"/>
    <d v="2023-03-18T11:45:00"/>
    <d v="2023-03-18T10:48:00"/>
    <d v="2023-03-18T11:43:00"/>
    <x v="0"/>
    <x v="1"/>
    <x v="0"/>
    <x v="0"/>
  </r>
  <r>
    <x v="2"/>
    <x v="3"/>
    <n v="4.62"/>
    <n v="52"/>
    <n v="3.27"/>
    <n v="82"/>
    <d v="2023-03-18T11:00:00"/>
    <d v="2023-03-18T11:52:00"/>
    <d v="2023-03-18T10:58:00"/>
    <d v="2023-03-18T11:50:00"/>
    <x v="0"/>
    <x v="1"/>
    <x v="0"/>
    <x v="0"/>
  </r>
  <r>
    <x v="3"/>
    <x v="2"/>
    <n v="1.39"/>
    <n v="42"/>
    <n v="14.19"/>
    <n v="91"/>
    <d v="2023-03-18T11:10:00"/>
    <d v="2023-03-18T11:52:00"/>
    <d v="2023-03-18T11:15:00"/>
    <d v="2023-03-18T11:57:00"/>
    <x v="0"/>
    <x v="0"/>
    <x v="0"/>
    <x v="0"/>
  </r>
  <r>
    <x v="2"/>
    <x v="3"/>
    <n v="3.95"/>
    <n v="107"/>
    <n v="13.73"/>
    <n v="83"/>
    <d v="2023-03-18T11:20:00"/>
    <d v="2023-03-18T13:07:00"/>
    <d v="2023-03-18T11:15:00"/>
    <d v="2023-03-18T13:02:00"/>
    <x v="0"/>
    <x v="1"/>
    <x v="0"/>
    <x v="0"/>
  </r>
  <r>
    <x v="4"/>
    <x v="1"/>
    <n v="3.3"/>
    <n v="64"/>
    <n v="4.1399999999999997"/>
    <n v="93"/>
    <d v="2023-03-18T11:30:00"/>
    <d v="2023-03-18T12:34:00"/>
    <d v="2023-03-18T11:44:00"/>
    <d v="2023-03-18T12:48:00"/>
    <x v="1"/>
    <x v="1"/>
    <x v="0"/>
    <x v="0"/>
  </r>
  <r>
    <x v="0"/>
    <x v="4"/>
    <n v="4.8600000000000003"/>
    <n v="98"/>
    <n v="13.49"/>
    <n v="89"/>
    <d v="2023-03-18T11:40:00"/>
    <d v="2023-03-18T13:18:00"/>
    <d v="2023-03-18T11:35:00"/>
    <d v="2023-03-18T13:13:00"/>
    <x v="0"/>
    <x v="1"/>
    <x v="0"/>
    <x v="0"/>
  </r>
  <r>
    <x v="2"/>
    <x v="0"/>
    <n v="1.84"/>
    <n v="84"/>
    <n v="8.81"/>
    <n v="98"/>
    <d v="2023-03-18T11:50:00"/>
    <d v="2023-03-18T13:14:00"/>
    <d v="2023-03-18T12:13:00"/>
    <d v="2023-03-18T13:37:00"/>
    <x v="1"/>
    <x v="1"/>
    <x v="0"/>
    <x v="0"/>
  </r>
  <r>
    <x v="1"/>
    <x v="2"/>
    <n v="1.84"/>
    <n v="119"/>
    <n v="5.0999999999999996"/>
    <n v="82"/>
    <d v="2023-03-18T12:00:00"/>
    <d v="2023-03-18T13:59:00"/>
    <m/>
    <m/>
    <x v="2"/>
    <x v="1"/>
    <x v="1"/>
    <x v="1"/>
  </r>
  <r>
    <x v="0"/>
    <x v="1"/>
    <n v="1.1399999999999999"/>
    <n v="21"/>
    <n v="3.89"/>
    <n v="97"/>
    <d v="2023-03-18T12:10:00"/>
    <d v="2023-03-18T12:31:00"/>
    <d v="2023-03-18T12:10:00"/>
    <d v="2023-03-18T12:31:00"/>
    <x v="0"/>
    <x v="2"/>
    <x v="0"/>
    <x v="0"/>
  </r>
  <r>
    <x v="4"/>
    <x v="2"/>
    <n v="4.03"/>
    <n v="87"/>
    <n v="11.34"/>
    <n v="80"/>
    <d v="2023-03-18T12:20:00"/>
    <d v="2023-03-18T13:47:00"/>
    <m/>
    <m/>
    <x v="2"/>
    <x v="1"/>
    <x v="1"/>
    <x v="1"/>
  </r>
  <r>
    <x v="4"/>
    <x v="3"/>
    <n v="3.21"/>
    <n v="93"/>
    <n v="4.16"/>
    <n v="98"/>
    <d v="2023-03-18T12:30:00"/>
    <d v="2023-03-18T14:03:00"/>
    <d v="2023-03-18T12:28:00"/>
    <d v="2023-03-18T14:01:00"/>
    <x v="0"/>
    <x v="1"/>
    <x v="0"/>
    <x v="0"/>
  </r>
  <r>
    <x v="2"/>
    <x v="3"/>
    <n v="3.47"/>
    <n v="116"/>
    <n v="5.39"/>
    <n v="91"/>
    <d v="2023-03-18T12:40:00"/>
    <d v="2023-03-18T14:36:00"/>
    <d v="2023-03-18T12:39:00"/>
    <d v="2023-03-18T14:35:00"/>
    <x v="0"/>
    <x v="1"/>
    <x v="0"/>
    <x v="0"/>
  </r>
  <r>
    <x v="3"/>
    <x v="0"/>
    <n v="4.62"/>
    <n v="66"/>
    <n v="10.36"/>
    <n v="89"/>
    <d v="2023-03-18T12:50:00"/>
    <d v="2023-03-18T13:56:00"/>
    <d v="2023-03-18T12:51:00"/>
    <d v="2023-03-18T13:57:00"/>
    <x v="0"/>
    <x v="0"/>
    <x v="0"/>
    <x v="0"/>
  </r>
  <r>
    <x v="4"/>
    <x v="0"/>
    <n v="1.7"/>
    <n v="37"/>
    <n v="3.21"/>
    <n v="96"/>
    <d v="2023-03-18T13:00:00"/>
    <d v="2023-03-18T13:37:00"/>
    <d v="2023-03-18T13:02:00"/>
    <d v="2023-03-18T13:39:00"/>
    <x v="0"/>
    <x v="2"/>
    <x v="0"/>
    <x v="0"/>
  </r>
  <r>
    <x v="4"/>
    <x v="4"/>
    <n v="3.02"/>
    <n v="78"/>
    <n v="4.93"/>
    <n v="80"/>
    <d v="2023-03-18T13:10:00"/>
    <d v="2023-03-18T14:28:00"/>
    <d v="2023-03-18T13:13:00"/>
    <d v="2023-03-18T14:31:00"/>
    <x v="0"/>
    <x v="2"/>
    <x v="0"/>
    <x v="0"/>
  </r>
  <r>
    <x v="1"/>
    <x v="2"/>
    <n v="3.7"/>
    <n v="103"/>
    <n v="8.02"/>
    <n v="80"/>
    <d v="2023-03-18T13:20:00"/>
    <d v="2023-03-18T15:03:00"/>
    <d v="2023-03-18T13:33:00"/>
    <d v="2023-03-18T15:16:00"/>
    <x v="1"/>
    <x v="1"/>
    <x v="0"/>
    <x v="0"/>
  </r>
  <r>
    <x v="0"/>
    <x v="0"/>
    <n v="1.47"/>
    <n v="110"/>
    <n v="12.52"/>
    <n v="86"/>
    <d v="2023-03-18T13:30:00"/>
    <d v="2023-03-18T15:20:00"/>
    <d v="2023-03-18T13:54:00"/>
    <d v="2023-03-18T15:44:00"/>
    <x v="1"/>
    <x v="1"/>
    <x v="0"/>
    <x v="0"/>
  </r>
  <r>
    <x v="2"/>
    <x v="4"/>
    <n v="2.0499999999999998"/>
    <n v="47"/>
    <n v="12.12"/>
    <n v="82"/>
    <d v="2023-03-18T13:40:00"/>
    <d v="2023-03-18T14:27:00"/>
    <d v="2023-03-18T13:41:00"/>
    <d v="2023-03-18T14:28:00"/>
    <x v="0"/>
    <x v="0"/>
    <x v="0"/>
    <x v="0"/>
  </r>
  <r>
    <x v="1"/>
    <x v="1"/>
    <n v="1.76"/>
    <n v="99"/>
    <n v="4.72"/>
    <n v="96"/>
    <d v="2023-03-18T13:50:00"/>
    <d v="2023-03-18T15:29:00"/>
    <d v="2023-03-18T13:47:00"/>
    <d v="2023-03-18T15:26:00"/>
    <x v="0"/>
    <x v="1"/>
    <x v="0"/>
    <x v="0"/>
  </r>
  <r>
    <x v="0"/>
    <x v="3"/>
    <n v="4.5999999999999996"/>
    <n v="79"/>
    <n v="13.17"/>
    <n v="88"/>
    <d v="2023-03-18T14:00:00"/>
    <d v="2023-03-18T15:19:00"/>
    <d v="2023-03-18T14:02:00"/>
    <d v="2023-03-18T15:21:00"/>
    <x v="0"/>
    <x v="0"/>
    <x v="0"/>
    <x v="0"/>
  </r>
  <r>
    <x v="0"/>
    <x v="0"/>
    <n v="4.7699999999999996"/>
    <n v="43"/>
    <n v="4.9800000000000004"/>
    <n v="94"/>
    <d v="2023-03-18T14:10:00"/>
    <d v="2023-03-18T14:53:00"/>
    <d v="2023-03-18T14:10:00"/>
    <d v="2023-03-18T14:53:00"/>
    <x v="0"/>
    <x v="2"/>
    <x v="0"/>
    <x v="0"/>
  </r>
  <r>
    <x v="2"/>
    <x v="4"/>
    <n v="4.0599999999999996"/>
    <n v="48"/>
    <n v="10.65"/>
    <n v="86"/>
    <d v="2023-03-18T14:20:00"/>
    <d v="2023-03-18T15:08:00"/>
    <m/>
    <m/>
    <x v="2"/>
    <x v="1"/>
    <x v="1"/>
    <x v="1"/>
  </r>
  <r>
    <x v="0"/>
    <x v="2"/>
    <n v="2.29"/>
    <n v="50"/>
    <n v="9.94"/>
    <n v="97"/>
    <d v="2023-03-18T14:30:00"/>
    <d v="2023-03-18T15:20:00"/>
    <d v="2023-03-18T14:29:00"/>
    <d v="2023-03-18T15:19:00"/>
    <x v="0"/>
    <x v="1"/>
    <x v="0"/>
    <x v="0"/>
  </r>
  <r>
    <x v="1"/>
    <x v="3"/>
    <n v="1.1499999999999999"/>
    <n v="88"/>
    <n v="11.64"/>
    <n v="82"/>
    <d v="2023-03-18T14:40:00"/>
    <d v="2023-03-18T16:08:00"/>
    <d v="2023-03-18T14:43:00"/>
    <d v="2023-03-18T16:11:00"/>
    <x v="0"/>
    <x v="0"/>
    <x v="0"/>
    <x v="0"/>
  </r>
  <r>
    <x v="1"/>
    <x v="1"/>
    <n v="1.55"/>
    <n v="48"/>
    <n v="13.57"/>
    <n v="95"/>
    <d v="2023-03-18T14:50:00"/>
    <d v="2023-03-18T15:38:00"/>
    <d v="2023-03-18T14:47:00"/>
    <d v="2023-03-18T15:35:00"/>
    <x v="0"/>
    <x v="1"/>
    <x v="0"/>
    <x v="0"/>
  </r>
  <r>
    <x v="4"/>
    <x v="1"/>
    <n v="4.84"/>
    <n v="75"/>
    <n v="4.53"/>
    <n v="87"/>
    <d v="2023-03-18T15:00:00"/>
    <d v="2023-03-18T16:15:00"/>
    <d v="2023-03-18T15:01:00"/>
    <d v="2023-03-18T16:16:00"/>
    <x v="0"/>
    <x v="2"/>
    <x v="0"/>
    <x v="0"/>
  </r>
  <r>
    <x v="2"/>
    <x v="2"/>
    <n v="1.82"/>
    <n v="109"/>
    <n v="5.67"/>
    <n v="93"/>
    <d v="2023-03-18T15:10:00"/>
    <d v="2023-03-18T16:59:00"/>
    <d v="2023-03-18T15:05:00"/>
    <d v="2023-03-18T16:54:00"/>
    <x v="0"/>
    <x v="1"/>
    <x v="0"/>
    <x v="0"/>
  </r>
  <r>
    <x v="2"/>
    <x v="3"/>
    <n v="3.52"/>
    <n v="78"/>
    <n v="3.03"/>
    <n v="91"/>
    <d v="2023-03-18T15:20:00"/>
    <d v="2023-03-18T16:38:00"/>
    <d v="2023-03-18T15:25:00"/>
    <d v="2023-03-18T16:43:00"/>
    <x v="0"/>
    <x v="2"/>
    <x v="0"/>
    <x v="0"/>
  </r>
  <r>
    <x v="4"/>
    <x v="3"/>
    <n v="4.5199999999999996"/>
    <n v="30"/>
    <n v="7.15"/>
    <n v="85"/>
    <d v="2023-03-18T15:30:00"/>
    <d v="2023-03-18T16:00:00"/>
    <d v="2023-03-18T15:54:00"/>
    <d v="2023-03-18T16:24:00"/>
    <x v="1"/>
    <x v="1"/>
    <x v="0"/>
    <x v="0"/>
  </r>
  <r>
    <x v="2"/>
    <x v="4"/>
    <n v="1.9"/>
    <n v="25"/>
    <n v="10.09"/>
    <n v="85"/>
    <d v="2023-03-18T15:40:00"/>
    <d v="2023-03-18T16:05:00"/>
    <d v="2023-03-18T15:44:00"/>
    <d v="2023-03-18T16:09:00"/>
    <x v="0"/>
    <x v="0"/>
    <x v="0"/>
    <x v="0"/>
  </r>
  <r>
    <x v="2"/>
    <x v="2"/>
    <n v="3.67"/>
    <n v="75"/>
    <n v="4.12"/>
    <n v="99"/>
    <d v="2023-03-18T15:50:00"/>
    <d v="2023-03-18T17:05:00"/>
    <d v="2023-03-18T15:47:00"/>
    <d v="2023-03-18T17:02:00"/>
    <x v="0"/>
    <x v="1"/>
    <x v="0"/>
    <x v="0"/>
  </r>
  <r>
    <x v="2"/>
    <x v="2"/>
    <n v="4.43"/>
    <n v="33"/>
    <n v="7.55"/>
    <n v="80"/>
    <d v="2023-03-18T16:00:00"/>
    <d v="2023-03-18T16:33:00"/>
    <d v="2023-03-18T16:04:00"/>
    <d v="2023-03-18T16:37:00"/>
    <x v="0"/>
    <x v="0"/>
    <x v="0"/>
    <x v="0"/>
  </r>
  <r>
    <x v="0"/>
    <x v="2"/>
    <n v="1.42"/>
    <n v="104"/>
    <n v="3.09"/>
    <n v="87"/>
    <d v="2023-03-18T16:10:00"/>
    <d v="2023-03-18T17:54:00"/>
    <d v="2023-03-18T16:29:00"/>
    <d v="2023-03-18T18:13:00"/>
    <x v="1"/>
    <x v="1"/>
    <x v="0"/>
    <x v="0"/>
  </r>
  <r>
    <x v="1"/>
    <x v="2"/>
    <n v="4.25"/>
    <n v="24"/>
    <n v="7.26"/>
    <n v="90"/>
    <d v="2023-03-18T16:20:00"/>
    <d v="2023-03-18T16:44:00"/>
    <m/>
    <m/>
    <x v="2"/>
    <x v="1"/>
    <x v="1"/>
    <x v="1"/>
  </r>
  <r>
    <x v="3"/>
    <x v="0"/>
    <n v="3.91"/>
    <n v="23"/>
    <n v="9.1999999999999993"/>
    <n v="82"/>
    <d v="2023-03-18T16:30:00"/>
    <d v="2023-03-18T16:53:00"/>
    <d v="2023-03-18T16:27:00"/>
    <d v="2023-03-18T16:50:00"/>
    <x v="0"/>
    <x v="1"/>
    <x v="0"/>
    <x v="0"/>
  </r>
  <r>
    <x v="2"/>
    <x v="2"/>
    <n v="1.85"/>
    <n v="97"/>
    <n v="4.7699999999999996"/>
    <n v="98"/>
    <d v="2023-03-18T16:40:00"/>
    <d v="2023-03-18T18:17:00"/>
    <d v="2023-03-18T16:37:00"/>
    <d v="2023-03-18T18:14:00"/>
    <x v="0"/>
    <x v="1"/>
    <x v="0"/>
    <x v="0"/>
  </r>
  <r>
    <x v="3"/>
    <x v="4"/>
    <n v="2.79"/>
    <n v="64"/>
    <n v="6.66"/>
    <n v="82"/>
    <d v="2023-03-18T16:50:00"/>
    <d v="2023-03-18T17:54:00"/>
    <d v="2023-03-18T17:10:00"/>
    <d v="2023-03-18T18:14:00"/>
    <x v="1"/>
    <x v="1"/>
    <x v="0"/>
    <x v="0"/>
  </r>
  <r>
    <x v="3"/>
    <x v="4"/>
    <n v="4.6100000000000003"/>
    <n v="116"/>
    <n v="13.1"/>
    <n v="99"/>
    <d v="2023-03-18T17:00:00"/>
    <d v="2023-03-18T18:56:00"/>
    <d v="2023-03-18T16:55:00"/>
    <d v="2023-03-18T18:51:00"/>
    <x v="0"/>
    <x v="1"/>
    <x v="0"/>
    <x v="0"/>
  </r>
  <r>
    <x v="0"/>
    <x v="4"/>
    <n v="4.2"/>
    <n v="104"/>
    <n v="11.91"/>
    <n v="80"/>
    <d v="2023-03-18T17:10:00"/>
    <d v="2023-03-18T18:54:00"/>
    <d v="2023-03-18T17:07:00"/>
    <d v="2023-03-18T18:51:00"/>
    <x v="0"/>
    <x v="1"/>
    <x v="0"/>
    <x v="0"/>
  </r>
  <r>
    <x v="2"/>
    <x v="1"/>
    <n v="1.04"/>
    <n v="31"/>
    <n v="6.53"/>
    <n v="86"/>
    <d v="2023-03-18T17:20:00"/>
    <d v="2023-03-18T17:51:00"/>
    <d v="2023-03-18T17:19:00"/>
    <d v="2023-03-18T17:50:00"/>
    <x v="0"/>
    <x v="1"/>
    <x v="0"/>
    <x v="0"/>
  </r>
  <r>
    <x v="0"/>
    <x v="0"/>
    <n v="1.03"/>
    <n v="83"/>
    <n v="8.42"/>
    <n v="81"/>
    <d v="2023-03-18T17:30:00"/>
    <d v="2023-03-18T18:53:00"/>
    <d v="2023-03-18T17:31:00"/>
    <d v="2023-03-18T18:54:00"/>
    <x v="0"/>
    <x v="2"/>
    <x v="0"/>
    <x v="0"/>
  </r>
  <r>
    <x v="3"/>
    <x v="1"/>
    <n v="3.62"/>
    <n v="62"/>
    <n v="6.06"/>
    <n v="88"/>
    <d v="2023-03-18T17:40:00"/>
    <d v="2023-03-18T18:42:00"/>
    <d v="2023-03-18T17:51:00"/>
    <d v="2023-03-18T18:53:00"/>
    <x v="1"/>
    <x v="1"/>
    <x v="0"/>
    <x v="0"/>
  </r>
  <r>
    <x v="0"/>
    <x v="3"/>
    <n v="3.29"/>
    <n v="66"/>
    <n v="8.69"/>
    <n v="80"/>
    <d v="2023-03-18T17:50:00"/>
    <d v="2023-03-18T18:56:00"/>
    <d v="2023-03-18T17:52:00"/>
    <d v="2023-03-18T18:58:00"/>
    <x v="0"/>
    <x v="0"/>
    <x v="0"/>
    <x v="0"/>
  </r>
  <r>
    <x v="2"/>
    <x v="2"/>
    <n v="3.03"/>
    <n v="110"/>
    <n v="6.98"/>
    <n v="82"/>
    <d v="2023-03-18T18:00:00"/>
    <d v="2023-03-18T19:50:00"/>
    <m/>
    <m/>
    <x v="2"/>
    <x v="1"/>
    <x v="1"/>
    <x v="1"/>
  </r>
  <r>
    <x v="2"/>
    <x v="2"/>
    <n v="2.4700000000000002"/>
    <n v="98"/>
    <n v="9.93"/>
    <n v="82"/>
    <d v="2023-03-18T18:10:00"/>
    <d v="2023-03-18T19:48:00"/>
    <d v="2023-03-18T18:39:00"/>
    <d v="2023-03-18T20:17:00"/>
    <x v="1"/>
    <x v="1"/>
    <x v="0"/>
    <x v="0"/>
  </r>
  <r>
    <x v="2"/>
    <x v="2"/>
    <n v="3.2"/>
    <n v="47"/>
    <n v="8.4"/>
    <n v="86"/>
    <d v="2023-03-18T18:20:00"/>
    <d v="2023-03-18T19:07:00"/>
    <m/>
    <m/>
    <x v="2"/>
    <x v="1"/>
    <x v="1"/>
    <x v="1"/>
  </r>
  <r>
    <x v="2"/>
    <x v="2"/>
    <n v="4.8099999999999996"/>
    <n v="71"/>
    <n v="7.42"/>
    <n v="83"/>
    <d v="2023-03-18T18:30:00"/>
    <d v="2023-03-18T19:41:00"/>
    <d v="2023-03-18T18:30:00"/>
    <d v="2023-03-18T19:41:00"/>
    <x v="0"/>
    <x v="2"/>
    <x v="0"/>
    <x v="0"/>
  </r>
  <r>
    <x v="4"/>
    <x v="0"/>
    <n v="2.71"/>
    <n v="23"/>
    <n v="6.8"/>
    <n v="90"/>
    <d v="2023-03-18T18:40:00"/>
    <d v="2023-03-18T19:03:00"/>
    <m/>
    <m/>
    <x v="2"/>
    <x v="1"/>
    <x v="1"/>
    <x v="1"/>
  </r>
  <r>
    <x v="4"/>
    <x v="4"/>
    <n v="3.47"/>
    <n v="52"/>
    <n v="2.09"/>
    <n v="97"/>
    <d v="2023-03-18T18:50:00"/>
    <d v="2023-03-18T19:42:00"/>
    <d v="2023-03-18T19:03:00"/>
    <d v="2023-03-18T19:55:00"/>
    <x v="1"/>
    <x v="1"/>
    <x v="0"/>
    <x v="0"/>
  </r>
  <r>
    <x v="2"/>
    <x v="2"/>
    <n v="3.28"/>
    <n v="23"/>
    <n v="3.79"/>
    <n v="84"/>
    <d v="2023-03-18T19:00:00"/>
    <d v="2023-03-18T19:23:00"/>
    <d v="2023-03-18T19:12:00"/>
    <d v="2023-03-18T19:35:00"/>
    <x v="1"/>
    <x v="1"/>
    <x v="0"/>
    <x v="0"/>
  </r>
  <r>
    <x v="2"/>
    <x v="2"/>
    <n v="3.48"/>
    <n v="116"/>
    <n v="9.64"/>
    <n v="82"/>
    <d v="2023-03-18T19:10:00"/>
    <d v="2023-03-18T21:06:00"/>
    <d v="2023-03-18T19:09:00"/>
    <d v="2023-03-18T21:05:00"/>
    <x v="0"/>
    <x v="1"/>
    <x v="0"/>
    <x v="0"/>
  </r>
  <r>
    <x v="1"/>
    <x v="1"/>
    <n v="2.61"/>
    <n v="29"/>
    <n v="9.58"/>
    <n v="80"/>
    <d v="2023-03-18T19:20:00"/>
    <d v="2023-03-18T19:49:00"/>
    <d v="2023-03-18T19:21:00"/>
    <d v="2023-03-18T19:50:00"/>
    <x v="0"/>
    <x v="0"/>
    <x v="0"/>
    <x v="0"/>
  </r>
  <r>
    <x v="1"/>
    <x v="4"/>
    <n v="3.37"/>
    <n v="54"/>
    <n v="2.46"/>
    <n v="82"/>
    <d v="2023-03-18T19:30:00"/>
    <d v="2023-03-18T20:24:00"/>
    <m/>
    <m/>
    <x v="2"/>
    <x v="1"/>
    <x v="1"/>
    <x v="1"/>
  </r>
  <r>
    <x v="1"/>
    <x v="3"/>
    <n v="2.62"/>
    <n v="25"/>
    <n v="7.29"/>
    <n v="95"/>
    <d v="2023-03-18T19:40:00"/>
    <d v="2023-03-18T20:05:00"/>
    <d v="2023-03-18T19:38:00"/>
    <d v="2023-03-18T20:03:00"/>
    <x v="0"/>
    <x v="1"/>
    <x v="0"/>
    <x v="0"/>
  </r>
  <r>
    <x v="3"/>
    <x v="0"/>
    <n v="3.52"/>
    <n v="68"/>
    <n v="6.05"/>
    <n v="99"/>
    <d v="2023-03-18T19:50:00"/>
    <d v="2023-03-18T20:58:00"/>
    <d v="2023-03-18T19:51:00"/>
    <d v="2023-03-18T20:59:00"/>
    <x v="0"/>
    <x v="2"/>
    <x v="0"/>
    <x v="0"/>
  </r>
  <r>
    <x v="1"/>
    <x v="4"/>
    <n v="4.17"/>
    <n v="112"/>
    <n v="11.57"/>
    <n v="89"/>
    <d v="2023-03-18T20:00:00"/>
    <d v="2023-03-18T21:52:00"/>
    <d v="2023-03-18T20:02:00"/>
    <d v="2023-03-18T21:54:00"/>
    <x v="0"/>
    <x v="0"/>
    <x v="0"/>
    <x v="0"/>
  </r>
  <r>
    <x v="1"/>
    <x v="3"/>
    <n v="3.72"/>
    <n v="65"/>
    <n v="12.97"/>
    <n v="86"/>
    <d v="2023-03-18T20:10:00"/>
    <d v="2023-03-18T21:15:00"/>
    <d v="2023-03-18T20:13:00"/>
    <d v="2023-03-18T21:18:00"/>
    <x v="0"/>
    <x v="0"/>
    <x v="0"/>
    <x v="0"/>
  </r>
  <r>
    <x v="3"/>
    <x v="1"/>
    <n v="3.55"/>
    <n v="85"/>
    <n v="7.52"/>
    <n v="84"/>
    <d v="2023-03-18T20:20:00"/>
    <d v="2023-03-18T21:45:00"/>
    <d v="2023-03-18T20:22:00"/>
    <d v="2023-03-18T21:47:00"/>
    <x v="0"/>
    <x v="2"/>
    <x v="0"/>
    <x v="0"/>
  </r>
  <r>
    <x v="0"/>
    <x v="3"/>
    <n v="1.99"/>
    <n v="99"/>
    <n v="10.01"/>
    <n v="90"/>
    <d v="2023-03-18T20:30:00"/>
    <d v="2023-03-18T22:09:00"/>
    <m/>
    <m/>
    <x v="2"/>
    <x v="1"/>
    <x v="1"/>
    <x v="1"/>
  </r>
  <r>
    <x v="0"/>
    <x v="3"/>
    <n v="3.46"/>
    <n v="62"/>
    <n v="7.46"/>
    <n v="84"/>
    <d v="2023-03-18T20:40:00"/>
    <d v="2023-03-18T21:42:00"/>
    <d v="2023-03-18T20:40:00"/>
    <d v="2023-03-18T21:42:00"/>
    <x v="0"/>
    <x v="2"/>
    <x v="0"/>
    <x v="0"/>
  </r>
  <r>
    <x v="2"/>
    <x v="3"/>
    <n v="2.08"/>
    <n v="107"/>
    <n v="2.2000000000000002"/>
    <n v="89"/>
    <d v="2023-03-18T20:50:00"/>
    <d v="2023-03-18T22:37:00"/>
    <d v="2023-03-18T21:02:00"/>
    <d v="2023-03-18T22:49:00"/>
    <x v="1"/>
    <x v="1"/>
    <x v="0"/>
    <x v="0"/>
  </r>
  <r>
    <x v="3"/>
    <x v="3"/>
    <n v="4.55"/>
    <n v="84"/>
    <n v="7.43"/>
    <n v="97"/>
    <d v="2023-03-18T21:00:00"/>
    <d v="2023-03-18T22:24:00"/>
    <d v="2023-03-18T21:21:00"/>
    <d v="2023-03-18T22:45:00"/>
    <x v="1"/>
    <x v="1"/>
    <x v="0"/>
    <x v="0"/>
  </r>
  <r>
    <x v="1"/>
    <x v="0"/>
    <n v="2.11"/>
    <n v="82"/>
    <n v="14.62"/>
    <n v="89"/>
    <d v="2023-03-18T21:10:00"/>
    <d v="2023-03-18T22:32:00"/>
    <d v="2023-03-18T21:08:00"/>
    <d v="2023-03-18T22:30:00"/>
    <x v="0"/>
    <x v="1"/>
    <x v="0"/>
    <x v="0"/>
  </r>
  <r>
    <x v="2"/>
    <x v="1"/>
    <n v="4.01"/>
    <n v="69"/>
    <n v="11.72"/>
    <n v="88"/>
    <d v="2023-03-18T21:20:00"/>
    <d v="2023-03-18T22:29:00"/>
    <d v="2023-03-18T21:17:00"/>
    <d v="2023-03-18T22:26:00"/>
    <x v="0"/>
    <x v="1"/>
    <x v="0"/>
    <x v="0"/>
  </r>
  <r>
    <x v="0"/>
    <x v="4"/>
    <n v="1.73"/>
    <n v="24"/>
    <n v="13.39"/>
    <n v="98"/>
    <d v="2023-03-18T21:30:00"/>
    <d v="2023-03-18T21:54:00"/>
    <d v="2023-03-18T21:26:00"/>
    <d v="2023-03-18T21:50:00"/>
    <x v="0"/>
    <x v="1"/>
    <x v="0"/>
    <x v="0"/>
  </r>
  <r>
    <x v="4"/>
    <x v="4"/>
    <n v="4.1500000000000004"/>
    <n v="59"/>
    <n v="12.15"/>
    <n v="85"/>
    <d v="2023-03-18T21:40:00"/>
    <d v="2023-03-18T22:39:00"/>
    <d v="2023-03-18T21:41:00"/>
    <d v="2023-03-18T22:40:00"/>
    <x v="0"/>
    <x v="0"/>
    <x v="0"/>
    <x v="0"/>
  </r>
  <r>
    <x v="3"/>
    <x v="4"/>
    <n v="1.19"/>
    <n v="77"/>
    <n v="11.36"/>
    <n v="95"/>
    <d v="2023-03-18T21:50:00"/>
    <d v="2023-03-18T23:07:00"/>
    <d v="2023-03-18T22:06:00"/>
    <d v="2023-03-18T23:23:00"/>
    <x v="1"/>
    <x v="1"/>
    <x v="0"/>
    <x v="0"/>
  </r>
  <r>
    <x v="2"/>
    <x v="2"/>
    <n v="3.38"/>
    <n v="44"/>
    <n v="3.35"/>
    <n v="87"/>
    <d v="2023-03-18T22:00:00"/>
    <d v="2023-03-18T22:44:00"/>
    <d v="2023-03-18T22:00:00"/>
    <d v="2023-03-18T22:44:00"/>
    <x v="0"/>
    <x v="2"/>
    <x v="0"/>
    <x v="0"/>
  </r>
  <r>
    <x v="3"/>
    <x v="4"/>
    <n v="2.77"/>
    <n v="77"/>
    <n v="14.07"/>
    <n v="93"/>
    <d v="2023-03-18T22:10:00"/>
    <d v="2023-03-18T23:27:00"/>
    <d v="2023-03-18T22:12:00"/>
    <d v="2023-03-18T23:29:00"/>
    <x v="0"/>
    <x v="0"/>
    <x v="0"/>
    <x v="0"/>
  </r>
  <r>
    <x v="4"/>
    <x v="2"/>
    <n v="2.33"/>
    <n v="59"/>
    <n v="14.83"/>
    <n v="98"/>
    <d v="2023-03-18T22:20:00"/>
    <d v="2023-03-18T23:19:00"/>
    <d v="2023-03-18T22:32:00"/>
    <d v="2023-03-18T23:31:00"/>
    <x v="1"/>
    <x v="1"/>
    <x v="0"/>
    <x v="0"/>
  </r>
  <r>
    <x v="1"/>
    <x v="1"/>
    <n v="1.36"/>
    <n v="60"/>
    <n v="9.56"/>
    <n v="94"/>
    <d v="2023-03-18T22:30:00"/>
    <d v="2023-03-18T23:30:00"/>
    <d v="2023-03-18T22:26:00"/>
    <d v="2023-03-18T23:26:00"/>
    <x v="0"/>
    <x v="1"/>
    <x v="0"/>
    <x v="0"/>
  </r>
  <r>
    <x v="1"/>
    <x v="0"/>
    <n v="4.66"/>
    <n v="55"/>
    <n v="14.16"/>
    <n v="81"/>
    <d v="2023-03-18T22:40:00"/>
    <d v="2023-03-18T23:35:00"/>
    <d v="2023-03-18T22:35:00"/>
    <d v="2023-03-18T23:30:00"/>
    <x v="0"/>
    <x v="1"/>
    <x v="0"/>
    <x v="0"/>
  </r>
  <r>
    <x v="2"/>
    <x v="2"/>
    <n v="2.38"/>
    <n v="27"/>
    <n v="12.34"/>
    <n v="99"/>
    <d v="2023-03-18T22:50:00"/>
    <d v="2023-03-18T23:17:00"/>
    <d v="2023-03-18T23:05:00"/>
    <d v="2023-03-18T23:32:00"/>
    <x v="1"/>
    <x v="1"/>
    <x v="0"/>
    <x v="0"/>
  </r>
  <r>
    <x v="2"/>
    <x v="0"/>
    <n v="4.8600000000000003"/>
    <n v="60"/>
    <n v="14.6"/>
    <n v="83"/>
    <d v="2023-03-18T23:00:00"/>
    <d v="2023-03-19T00:00:00"/>
    <d v="2023-03-18T22:59:00"/>
    <d v="2023-03-18T23:59:00"/>
    <x v="0"/>
    <x v="1"/>
    <x v="0"/>
    <x v="0"/>
  </r>
  <r>
    <x v="4"/>
    <x v="3"/>
    <n v="4.8499999999999996"/>
    <n v="90"/>
    <n v="8.14"/>
    <n v="96"/>
    <d v="2023-03-18T23:10:00"/>
    <d v="2023-03-19T00:40:00"/>
    <m/>
    <m/>
    <x v="2"/>
    <x v="1"/>
    <x v="1"/>
    <x v="1"/>
  </r>
  <r>
    <x v="4"/>
    <x v="2"/>
    <n v="1.63"/>
    <n v="86"/>
    <n v="9.92"/>
    <n v="98"/>
    <d v="2023-03-18T23:20:00"/>
    <d v="2023-03-19T00:46:00"/>
    <d v="2023-03-18T23:32:00"/>
    <d v="2023-03-19T00:58:00"/>
    <x v="1"/>
    <x v="1"/>
    <x v="0"/>
    <x v="0"/>
  </r>
  <r>
    <x v="3"/>
    <x v="2"/>
    <n v="4.43"/>
    <n v="51"/>
    <n v="7.61"/>
    <n v="86"/>
    <d v="2023-03-18T23:30:00"/>
    <d v="2023-03-19T00:21:00"/>
    <d v="2023-03-18T23:48:00"/>
    <d v="2023-03-19T00:39:00"/>
    <x v="1"/>
    <x v="1"/>
    <x v="0"/>
    <x v="0"/>
  </r>
  <r>
    <x v="4"/>
    <x v="2"/>
    <n v="3.43"/>
    <n v="113"/>
    <n v="9.2200000000000006"/>
    <n v="89"/>
    <d v="2023-03-18T23:40:00"/>
    <d v="2023-03-19T01:33:00"/>
    <d v="2023-03-18T23:38:00"/>
    <d v="2023-03-19T01:31:00"/>
    <x v="0"/>
    <x v="1"/>
    <x v="0"/>
    <x v="0"/>
  </r>
  <r>
    <x v="3"/>
    <x v="3"/>
    <n v="4.18"/>
    <n v="110"/>
    <n v="10.67"/>
    <n v="99"/>
    <d v="2023-03-18T23:50:00"/>
    <d v="2023-03-19T01:40:00"/>
    <d v="2023-03-19T00:20:00"/>
    <d v="2023-03-19T02:10:00"/>
    <x v="1"/>
    <x v="1"/>
    <x v="0"/>
    <x v="0"/>
  </r>
  <r>
    <x v="1"/>
    <x v="4"/>
    <n v="3.88"/>
    <n v="57"/>
    <n v="3.8"/>
    <n v="87"/>
    <d v="2023-03-19T00:00:00"/>
    <d v="2023-03-19T00:57:00"/>
    <d v="2023-03-19T00:23:00"/>
    <d v="2023-03-19T01:20:00"/>
    <x v="1"/>
    <x v="1"/>
    <x v="0"/>
    <x v="0"/>
  </r>
  <r>
    <x v="4"/>
    <x v="0"/>
    <n v="3.87"/>
    <n v="91"/>
    <n v="14.55"/>
    <n v="92"/>
    <d v="2023-03-19T00:10:00"/>
    <d v="2023-03-19T01:41:00"/>
    <d v="2023-03-19T00:11:00"/>
    <d v="2023-03-19T01:42:00"/>
    <x v="0"/>
    <x v="0"/>
    <x v="0"/>
    <x v="0"/>
  </r>
  <r>
    <x v="3"/>
    <x v="1"/>
    <n v="1.79"/>
    <n v="33"/>
    <n v="3.17"/>
    <n v="80"/>
    <d v="2023-03-19T00:20:00"/>
    <d v="2023-03-19T00:53:00"/>
    <m/>
    <m/>
    <x v="2"/>
    <x v="1"/>
    <x v="1"/>
    <x v="1"/>
  </r>
  <r>
    <x v="2"/>
    <x v="0"/>
    <n v="2.71"/>
    <n v="27"/>
    <n v="12.24"/>
    <n v="96"/>
    <d v="2023-03-19T00:30:00"/>
    <d v="2023-03-19T00:57:00"/>
    <d v="2023-03-19T00:35:00"/>
    <d v="2023-03-19T01:02:00"/>
    <x v="0"/>
    <x v="0"/>
    <x v="0"/>
    <x v="0"/>
  </r>
  <r>
    <x v="3"/>
    <x v="1"/>
    <n v="1.32"/>
    <n v="111"/>
    <n v="3.88"/>
    <n v="91"/>
    <d v="2023-03-25T06:30:00"/>
    <d v="2023-03-25T08:21:00"/>
    <d v="2023-03-25T06:29:00"/>
    <d v="2023-03-25T08:20:00"/>
    <x v="0"/>
    <x v="1"/>
    <x v="0"/>
    <x v="0"/>
  </r>
  <r>
    <x v="3"/>
    <x v="1"/>
    <n v="4.8"/>
    <n v="37"/>
    <n v="4.7300000000000004"/>
    <n v="92"/>
    <d v="2023-03-19T00:40:00"/>
    <d v="2023-03-19T01:17:00"/>
    <d v="2023-03-19T00:37:00"/>
    <d v="2023-03-19T01:14:00"/>
    <x v="0"/>
    <x v="1"/>
    <x v="0"/>
    <x v="0"/>
  </r>
  <r>
    <x v="1"/>
    <x v="0"/>
    <n v="4.96"/>
    <n v="110"/>
    <n v="14.56"/>
    <n v="88"/>
    <d v="2023-03-19T00:50:00"/>
    <d v="2023-03-19T02:40:00"/>
    <d v="2023-03-19T00:49:00"/>
    <d v="2023-03-19T02:39:00"/>
    <x v="0"/>
    <x v="1"/>
    <x v="0"/>
    <x v="0"/>
  </r>
  <r>
    <x v="3"/>
    <x v="2"/>
    <n v="2.54"/>
    <n v="105"/>
    <n v="9.9700000000000006"/>
    <n v="96"/>
    <d v="2023-03-19T01:00:00"/>
    <d v="2023-03-19T02:45:00"/>
    <d v="2023-03-19T01:14:00"/>
    <d v="2023-03-19T02:59:00"/>
    <x v="1"/>
    <x v="1"/>
    <x v="0"/>
    <x v="0"/>
  </r>
  <r>
    <x v="3"/>
    <x v="3"/>
    <n v="3.6"/>
    <n v="62"/>
    <n v="8.4499999999999993"/>
    <n v="87"/>
    <d v="2023-03-19T01:10:00"/>
    <d v="2023-03-19T02:12:00"/>
    <d v="2023-03-19T01:05:00"/>
    <d v="2023-03-19T02:07:00"/>
    <x v="0"/>
    <x v="1"/>
    <x v="0"/>
    <x v="0"/>
  </r>
  <r>
    <x v="4"/>
    <x v="0"/>
    <n v="1.85"/>
    <n v="43"/>
    <n v="13.65"/>
    <n v="86"/>
    <d v="2023-03-19T01:20:00"/>
    <d v="2023-03-19T02:03:00"/>
    <d v="2023-03-19T01:18:00"/>
    <d v="2023-03-19T02:01:00"/>
    <x v="0"/>
    <x v="1"/>
    <x v="0"/>
    <x v="0"/>
  </r>
  <r>
    <x v="4"/>
    <x v="0"/>
    <n v="4.58"/>
    <n v="107"/>
    <n v="8.8000000000000007"/>
    <n v="80"/>
    <d v="2023-03-19T01:30:00"/>
    <d v="2023-03-19T03:17:00"/>
    <d v="2023-03-19T01:27:00"/>
    <d v="2023-03-19T03:14:00"/>
    <x v="0"/>
    <x v="1"/>
    <x v="0"/>
    <x v="0"/>
  </r>
  <r>
    <x v="1"/>
    <x v="0"/>
    <n v="3.86"/>
    <n v="103"/>
    <n v="13.37"/>
    <n v="92"/>
    <d v="2023-03-19T01:40:00"/>
    <d v="2023-03-19T03:23:00"/>
    <m/>
    <m/>
    <x v="2"/>
    <x v="1"/>
    <x v="1"/>
    <x v="1"/>
  </r>
  <r>
    <x v="3"/>
    <x v="2"/>
    <n v="3.28"/>
    <n v="78"/>
    <n v="14.78"/>
    <n v="84"/>
    <d v="2023-03-19T01:50:00"/>
    <d v="2023-03-19T03:08:00"/>
    <d v="2023-03-19T01:51:00"/>
    <d v="2023-03-19T03:09:00"/>
    <x v="0"/>
    <x v="0"/>
    <x v="0"/>
    <x v="0"/>
  </r>
  <r>
    <x v="3"/>
    <x v="2"/>
    <n v="3.19"/>
    <n v="102"/>
    <n v="5.14"/>
    <n v="84"/>
    <d v="2023-03-19T02:00:00"/>
    <d v="2023-03-19T03:42:00"/>
    <d v="2023-03-19T01:55:00"/>
    <d v="2023-03-19T03:37:00"/>
    <x v="0"/>
    <x v="1"/>
    <x v="0"/>
    <x v="0"/>
  </r>
  <r>
    <x v="3"/>
    <x v="1"/>
    <n v="3.17"/>
    <n v="107"/>
    <n v="9.31"/>
    <n v="89"/>
    <d v="2023-03-19T02:10:00"/>
    <d v="2023-03-19T03:57:00"/>
    <d v="2023-03-19T02:08:00"/>
    <d v="2023-03-19T03:55:00"/>
    <x v="0"/>
    <x v="1"/>
    <x v="0"/>
    <x v="0"/>
  </r>
  <r>
    <x v="0"/>
    <x v="4"/>
    <n v="2.87"/>
    <n v="119"/>
    <n v="13.26"/>
    <n v="80"/>
    <d v="2023-03-19T02:20:00"/>
    <d v="2023-03-19T04:19:00"/>
    <d v="2023-03-19T02:16:00"/>
    <d v="2023-03-19T04:15:00"/>
    <x v="0"/>
    <x v="1"/>
    <x v="0"/>
    <x v="0"/>
  </r>
  <r>
    <x v="2"/>
    <x v="2"/>
    <n v="3.71"/>
    <n v="74"/>
    <n v="7.12"/>
    <n v="95"/>
    <d v="2023-03-19T02:30:00"/>
    <d v="2023-03-19T03:44:00"/>
    <d v="2023-03-19T02:35:00"/>
    <d v="2023-03-19T03:49:00"/>
    <x v="0"/>
    <x v="0"/>
    <x v="0"/>
    <x v="0"/>
  </r>
  <r>
    <x v="0"/>
    <x v="4"/>
    <n v="3.77"/>
    <n v="103"/>
    <n v="2.25"/>
    <n v="95"/>
    <d v="2023-03-19T02:40:00"/>
    <d v="2023-03-19T04:23:00"/>
    <d v="2023-03-19T02:38:00"/>
    <d v="2023-03-19T04:21:00"/>
    <x v="0"/>
    <x v="1"/>
    <x v="0"/>
    <x v="0"/>
  </r>
  <r>
    <x v="0"/>
    <x v="2"/>
    <n v="1.26"/>
    <n v="116"/>
    <n v="4.3600000000000003"/>
    <n v="98"/>
    <d v="2023-03-19T02:50:00"/>
    <d v="2023-03-19T04:46:00"/>
    <d v="2023-03-19T03:13:00"/>
    <d v="2023-03-19T05:09:00"/>
    <x v="1"/>
    <x v="1"/>
    <x v="0"/>
    <x v="0"/>
  </r>
  <r>
    <x v="1"/>
    <x v="2"/>
    <n v="1.32"/>
    <n v="114"/>
    <n v="9.49"/>
    <n v="86"/>
    <d v="2023-03-19T03:00:00"/>
    <d v="2023-03-19T04:54:00"/>
    <d v="2023-03-19T03:00:00"/>
    <d v="2023-03-19T04:54:00"/>
    <x v="0"/>
    <x v="2"/>
    <x v="0"/>
    <x v="0"/>
  </r>
  <r>
    <x v="1"/>
    <x v="3"/>
    <n v="2.11"/>
    <n v="77"/>
    <n v="5.69"/>
    <n v="90"/>
    <d v="2023-03-19T03:10:00"/>
    <d v="2023-03-19T04:27:00"/>
    <d v="2023-03-19T03:08:00"/>
    <d v="2023-03-19T04:25:00"/>
    <x v="0"/>
    <x v="1"/>
    <x v="0"/>
    <x v="0"/>
  </r>
  <r>
    <x v="2"/>
    <x v="0"/>
    <n v="1.57"/>
    <n v="67"/>
    <n v="5.41"/>
    <n v="81"/>
    <d v="2023-03-19T03:20:00"/>
    <d v="2023-03-19T04:27:00"/>
    <d v="2023-03-19T03:16:00"/>
    <d v="2023-03-19T04:23:00"/>
    <x v="0"/>
    <x v="1"/>
    <x v="0"/>
    <x v="0"/>
  </r>
  <r>
    <x v="2"/>
    <x v="2"/>
    <n v="1.1399999999999999"/>
    <n v="68"/>
    <n v="12.12"/>
    <n v="83"/>
    <d v="2023-03-19T03:30:00"/>
    <d v="2023-03-19T04:38:00"/>
    <m/>
    <m/>
    <x v="2"/>
    <x v="1"/>
    <x v="1"/>
    <x v="1"/>
  </r>
  <r>
    <x v="1"/>
    <x v="4"/>
    <n v="1.0900000000000001"/>
    <n v="58"/>
    <n v="6.55"/>
    <n v="89"/>
    <d v="2023-03-19T03:40:00"/>
    <d v="2023-03-19T04:38:00"/>
    <d v="2023-03-19T03:41:00"/>
    <d v="2023-03-19T04:39:00"/>
    <x v="0"/>
    <x v="2"/>
    <x v="0"/>
    <x v="0"/>
  </r>
  <r>
    <x v="1"/>
    <x v="2"/>
    <n v="1.22"/>
    <n v="33"/>
    <n v="5.5"/>
    <n v="91"/>
    <d v="2023-03-19T03:50:00"/>
    <d v="2023-03-19T04:23:00"/>
    <d v="2023-03-19T03:54:00"/>
    <d v="2023-03-19T04:27:00"/>
    <x v="0"/>
    <x v="2"/>
    <x v="0"/>
    <x v="0"/>
  </r>
  <r>
    <x v="3"/>
    <x v="1"/>
    <n v="4.13"/>
    <n v="39"/>
    <n v="8.06"/>
    <n v="91"/>
    <d v="2023-03-19T04:00:00"/>
    <d v="2023-03-19T04:39:00"/>
    <d v="2023-03-19T03:56:00"/>
    <d v="2023-03-19T04:35:00"/>
    <x v="0"/>
    <x v="1"/>
    <x v="0"/>
    <x v="0"/>
  </r>
  <r>
    <x v="2"/>
    <x v="0"/>
    <n v="3.22"/>
    <n v="102"/>
    <n v="7.75"/>
    <n v="96"/>
    <d v="2023-03-19T04:10:00"/>
    <d v="2023-03-19T05:52:00"/>
    <d v="2023-03-19T04:07:00"/>
    <d v="2023-03-19T05:49:00"/>
    <x v="0"/>
    <x v="1"/>
    <x v="0"/>
    <x v="0"/>
  </r>
  <r>
    <x v="1"/>
    <x v="0"/>
    <n v="2.65"/>
    <n v="85"/>
    <n v="8.35"/>
    <n v="80"/>
    <d v="2023-03-19T04:20:00"/>
    <d v="2023-03-19T05:45:00"/>
    <d v="2023-03-19T04:17:00"/>
    <d v="2023-03-19T05:42:00"/>
    <x v="0"/>
    <x v="1"/>
    <x v="0"/>
    <x v="0"/>
  </r>
  <r>
    <x v="0"/>
    <x v="0"/>
    <n v="4.75"/>
    <n v="40"/>
    <n v="4.42"/>
    <n v="80"/>
    <d v="2023-03-19T04:30:00"/>
    <d v="2023-03-19T05:10:00"/>
    <d v="2023-03-19T04:32:00"/>
    <d v="2023-03-19T05:12:00"/>
    <x v="0"/>
    <x v="2"/>
    <x v="0"/>
    <x v="0"/>
  </r>
  <r>
    <x v="2"/>
    <x v="1"/>
    <n v="2.4300000000000002"/>
    <n v="76"/>
    <n v="3.58"/>
    <n v="91"/>
    <d v="2023-03-19T04:40:00"/>
    <d v="2023-03-19T05:56:00"/>
    <d v="2023-03-19T04:40:00"/>
    <d v="2023-03-19T05:56:00"/>
    <x v="0"/>
    <x v="2"/>
    <x v="0"/>
    <x v="0"/>
  </r>
  <r>
    <x v="0"/>
    <x v="3"/>
    <n v="3.12"/>
    <n v="70"/>
    <n v="5.07"/>
    <n v="98"/>
    <d v="2023-03-19T04:50:00"/>
    <d v="2023-03-19T06:00:00"/>
    <d v="2023-03-19T04:45:00"/>
    <d v="2023-03-19T05:55:00"/>
    <x v="0"/>
    <x v="1"/>
    <x v="0"/>
    <x v="0"/>
  </r>
  <r>
    <x v="1"/>
    <x v="1"/>
    <n v="4.22"/>
    <n v="27"/>
    <n v="6.94"/>
    <n v="87"/>
    <d v="2023-03-19T05:00:00"/>
    <d v="2023-03-19T05:27:00"/>
    <d v="2023-03-19T05:21:00"/>
    <d v="2023-03-19T05:48:00"/>
    <x v="1"/>
    <x v="1"/>
    <x v="0"/>
    <x v="0"/>
  </r>
  <r>
    <x v="1"/>
    <x v="0"/>
    <n v="3.24"/>
    <n v="40"/>
    <n v="10.06"/>
    <n v="91"/>
    <d v="2023-03-19T05:10:00"/>
    <d v="2023-03-19T05:50:00"/>
    <d v="2023-03-19T05:08:00"/>
    <d v="2023-03-19T05:48:00"/>
    <x v="0"/>
    <x v="1"/>
    <x v="0"/>
    <x v="0"/>
  </r>
  <r>
    <x v="3"/>
    <x v="0"/>
    <n v="2.0699999999999998"/>
    <n v="45"/>
    <n v="7.75"/>
    <n v="84"/>
    <d v="2023-03-19T05:20:00"/>
    <d v="2023-03-19T06:05:00"/>
    <d v="2023-03-19T05:24:00"/>
    <d v="2023-03-19T06:09:00"/>
    <x v="0"/>
    <x v="0"/>
    <x v="0"/>
    <x v="0"/>
  </r>
  <r>
    <x v="2"/>
    <x v="3"/>
    <n v="1.1000000000000001"/>
    <n v="78"/>
    <n v="2.4900000000000002"/>
    <n v="96"/>
    <d v="2023-03-19T05:30:00"/>
    <d v="2023-03-19T06:48:00"/>
    <d v="2023-03-19T05:31:00"/>
    <d v="2023-03-19T06:49:00"/>
    <x v="0"/>
    <x v="3"/>
    <x v="0"/>
    <x v="0"/>
  </r>
  <r>
    <x v="1"/>
    <x v="4"/>
    <n v="3.55"/>
    <n v="78"/>
    <n v="4.87"/>
    <n v="97"/>
    <d v="2023-03-19T05:40:00"/>
    <d v="2023-03-19T06:58:00"/>
    <d v="2023-03-19T05:38:00"/>
    <d v="2023-03-19T06:56:00"/>
    <x v="0"/>
    <x v="1"/>
    <x v="0"/>
    <x v="0"/>
  </r>
  <r>
    <x v="0"/>
    <x v="1"/>
    <n v="4.6399999999999997"/>
    <n v="70"/>
    <n v="10.68"/>
    <n v="82"/>
    <d v="2023-03-19T05:50:00"/>
    <d v="2023-03-19T07:00:00"/>
    <d v="2023-03-19T06:04:00"/>
    <d v="2023-03-19T07:14:00"/>
    <x v="1"/>
    <x v="1"/>
    <x v="0"/>
    <x v="0"/>
  </r>
  <r>
    <x v="0"/>
    <x v="4"/>
    <n v="4.42"/>
    <n v="85"/>
    <n v="6.51"/>
    <n v="92"/>
    <d v="2023-03-19T06:00:00"/>
    <d v="2023-03-19T07:25:00"/>
    <d v="2023-03-19T06:04:00"/>
    <d v="2023-03-19T07:29:00"/>
    <x v="0"/>
    <x v="2"/>
    <x v="0"/>
    <x v="0"/>
  </r>
  <r>
    <x v="4"/>
    <x v="2"/>
    <n v="2.8"/>
    <n v="71"/>
    <n v="13.03"/>
    <n v="89"/>
    <d v="2023-03-19T06:10:00"/>
    <d v="2023-03-19T07:21:00"/>
    <m/>
    <m/>
    <x v="2"/>
    <x v="1"/>
    <x v="1"/>
    <x v="1"/>
  </r>
  <r>
    <x v="0"/>
    <x v="4"/>
    <n v="4.6399999999999997"/>
    <n v="23"/>
    <n v="8.31"/>
    <n v="86"/>
    <d v="2023-03-19T06:20:00"/>
    <d v="2023-03-19T06:43:00"/>
    <d v="2023-03-19T06:21:00"/>
    <d v="2023-03-19T06:44:00"/>
    <x v="0"/>
    <x v="2"/>
    <x v="0"/>
    <x v="0"/>
  </r>
  <r>
    <x v="1"/>
    <x v="4"/>
    <n v="4.7"/>
    <n v="78"/>
    <n v="2.59"/>
    <n v="95"/>
    <d v="2023-03-19T06:30:00"/>
    <d v="2023-03-19T07:48:00"/>
    <d v="2023-03-19T06:29:00"/>
    <d v="2023-03-19T07:47:00"/>
    <x v="0"/>
    <x v="1"/>
    <x v="0"/>
    <x v="0"/>
  </r>
  <r>
    <x v="0"/>
    <x v="2"/>
    <n v="2.86"/>
    <n v="91"/>
    <n v="11.79"/>
    <n v="89"/>
    <d v="2023-03-19T06:40:00"/>
    <d v="2023-03-19T08:11:00"/>
    <d v="2023-03-19T06:45:00"/>
    <d v="2023-03-19T08:16:00"/>
    <x v="0"/>
    <x v="0"/>
    <x v="0"/>
    <x v="0"/>
  </r>
  <r>
    <x v="4"/>
    <x v="0"/>
    <n v="4.1399999999999997"/>
    <n v="65"/>
    <n v="11.48"/>
    <n v="81"/>
    <d v="2023-03-19T06:50:00"/>
    <d v="2023-03-19T07:55:00"/>
    <d v="2023-03-19T07:20:00"/>
    <d v="2023-03-19T08:25:00"/>
    <x v="1"/>
    <x v="1"/>
    <x v="0"/>
    <x v="0"/>
  </r>
  <r>
    <x v="4"/>
    <x v="1"/>
    <n v="4.04"/>
    <n v="45"/>
    <n v="4.4800000000000004"/>
    <n v="92"/>
    <d v="2023-03-19T07:00:00"/>
    <d v="2023-03-19T07:45:00"/>
    <d v="2023-03-19T07:02:00"/>
    <d v="2023-03-19T07:47:00"/>
    <x v="0"/>
    <x v="2"/>
    <x v="0"/>
    <x v="0"/>
  </r>
  <r>
    <x v="3"/>
    <x v="4"/>
    <n v="2.58"/>
    <n v="100"/>
    <n v="8.5399999999999991"/>
    <n v="85"/>
    <d v="2023-03-19T07:10:00"/>
    <d v="2023-03-19T08:50:00"/>
    <d v="2023-03-19T07:13:00"/>
    <d v="2023-03-19T08:53:00"/>
    <x v="0"/>
    <x v="0"/>
    <x v="0"/>
    <x v="0"/>
  </r>
  <r>
    <x v="4"/>
    <x v="4"/>
    <n v="2.4500000000000002"/>
    <n v="100"/>
    <n v="6"/>
    <n v="91"/>
    <d v="2023-03-19T07:20:00"/>
    <d v="2023-03-19T09:00:00"/>
    <d v="2023-03-19T07:16:00"/>
    <d v="2023-03-19T08:56:00"/>
    <x v="0"/>
    <x v="1"/>
    <x v="0"/>
    <x v="0"/>
  </r>
  <r>
    <x v="4"/>
    <x v="2"/>
    <n v="2.69"/>
    <n v="110"/>
    <n v="3.75"/>
    <n v="93"/>
    <d v="2023-03-19T07:30:00"/>
    <d v="2023-03-19T09:20:00"/>
    <d v="2023-03-19T07:28:00"/>
    <d v="2023-03-19T09:18:00"/>
    <x v="0"/>
    <x v="1"/>
    <x v="0"/>
    <x v="0"/>
  </r>
  <r>
    <x v="4"/>
    <x v="1"/>
    <n v="4.0199999999999996"/>
    <n v="33"/>
    <n v="4.28"/>
    <n v="87"/>
    <d v="2023-03-19T07:40:00"/>
    <d v="2023-03-19T08:13:00"/>
    <d v="2023-03-19T08:06:00"/>
    <d v="2023-03-19T08:39:00"/>
    <x v="1"/>
    <x v="1"/>
    <x v="0"/>
    <x v="0"/>
  </r>
  <r>
    <x v="4"/>
    <x v="3"/>
    <n v="2.1"/>
    <n v="47"/>
    <n v="6.24"/>
    <n v="87"/>
    <d v="2023-03-19T07:50:00"/>
    <d v="2023-03-19T08:37:00"/>
    <d v="2023-03-19T07:45:00"/>
    <d v="2023-03-19T08:32:00"/>
    <x v="0"/>
    <x v="1"/>
    <x v="0"/>
    <x v="0"/>
  </r>
  <r>
    <x v="3"/>
    <x v="2"/>
    <n v="4.0199999999999996"/>
    <n v="22"/>
    <n v="7.26"/>
    <n v="97"/>
    <d v="2023-03-19T08:00:00"/>
    <d v="2023-03-19T08:22:00"/>
    <d v="2023-03-19T08:05:00"/>
    <d v="2023-03-19T08:27:00"/>
    <x v="0"/>
    <x v="0"/>
    <x v="0"/>
    <x v="0"/>
  </r>
  <r>
    <x v="0"/>
    <x v="0"/>
    <n v="2.02"/>
    <n v="62"/>
    <n v="2.21"/>
    <n v="97"/>
    <d v="2023-03-19T08:10:00"/>
    <d v="2023-03-19T09:12:00"/>
    <m/>
    <m/>
    <x v="2"/>
    <x v="1"/>
    <x v="1"/>
    <x v="1"/>
  </r>
  <r>
    <x v="4"/>
    <x v="2"/>
    <n v="3.73"/>
    <n v="29"/>
    <n v="11.1"/>
    <n v="88"/>
    <d v="2023-03-19T08:20:00"/>
    <d v="2023-03-19T08:49:00"/>
    <d v="2023-03-19T08:49:00"/>
    <d v="2023-03-19T09:18:00"/>
    <x v="1"/>
    <x v="1"/>
    <x v="0"/>
    <x v="0"/>
  </r>
  <r>
    <x v="0"/>
    <x v="2"/>
    <n v="3.74"/>
    <n v="39"/>
    <n v="9.65"/>
    <n v="87"/>
    <d v="2023-03-19T08:30:00"/>
    <d v="2023-03-19T09:09:00"/>
    <d v="2023-03-19T08:30:00"/>
    <d v="2023-03-19T09:09:00"/>
    <x v="0"/>
    <x v="2"/>
    <x v="0"/>
    <x v="0"/>
  </r>
  <r>
    <x v="3"/>
    <x v="2"/>
    <n v="4.46"/>
    <n v="100"/>
    <n v="11.84"/>
    <n v="95"/>
    <d v="2023-03-19T08:40:00"/>
    <d v="2023-03-19T10:20:00"/>
    <m/>
    <m/>
    <x v="2"/>
    <x v="1"/>
    <x v="1"/>
    <x v="1"/>
  </r>
  <r>
    <x v="4"/>
    <x v="0"/>
    <n v="4.97"/>
    <n v="53"/>
    <n v="12.4"/>
    <n v="86"/>
    <d v="2023-03-19T08:50:00"/>
    <d v="2023-03-19T09:43:00"/>
    <d v="2023-03-19T09:06:00"/>
    <d v="2023-03-19T09:59:00"/>
    <x v="1"/>
    <x v="1"/>
    <x v="0"/>
    <x v="0"/>
  </r>
  <r>
    <x v="2"/>
    <x v="1"/>
    <n v="4.41"/>
    <n v="20"/>
    <n v="13.63"/>
    <n v="85"/>
    <d v="2023-03-19T09:00:00"/>
    <d v="2023-03-19T09:20:00"/>
    <m/>
    <m/>
    <x v="2"/>
    <x v="1"/>
    <x v="1"/>
    <x v="1"/>
  </r>
  <r>
    <x v="3"/>
    <x v="3"/>
    <n v="1.82"/>
    <n v="106"/>
    <n v="9.32"/>
    <n v="96"/>
    <d v="2023-03-19T09:10:00"/>
    <d v="2023-03-19T10:56:00"/>
    <d v="2023-03-19T09:14:00"/>
    <d v="2023-03-19T11:00:00"/>
    <x v="0"/>
    <x v="0"/>
    <x v="0"/>
    <x v="0"/>
  </r>
  <r>
    <x v="3"/>
    <x v="2"/>
    <n v="1.73"/>
    <n v="66"/>
    <n v="5.45"/>
    <n v="90"/>
    <d v="2023-03-19T09:20:00"/>
    <d v="2023-03-19T10:26:00"/>
    <d v="2023-03-19T09:20:00"/>
    <d v="2023-03-19T10:26:00"/>
    <x v="0"/>
    <x v="2"/>
    <x v="0"/>
    <x v="0"/>
  </r>
  <r>
    <x v="2"/>
    <x v="0"/>
    <n v="2.11"/>
    <n v="111"/>
    <n v="7.67"/>
    <n v="80"/>
    <d v="2023-03-19T09:30:00"/>
    <d v="2023-03-19T11:21:00"/>
    <d v="2023-03-19T09:29:00"/>
    <d v="2023-03-19T11:20:00"/>
    <x v="0"/>
    <x v="1"/>
    <x v="0"/>
    <x v="0"/>
  </r>
  <r>
    <x v="4"/>
    <x v="4"/>
    <n v="3.57"/>
    <n v="40"/>
    <n v="9.8699999999999992"/>
    <n v="82"/>
    <d v="2023-03-19T09:40:00"/>
    <d v="2023-03-19T10:20:00"/>
    <d v="2023-03-19T09:41:00"/>
    <d v="2023-03-19T10:21:00"/>
    <x v="0"/>
    <x v="0"/>
    <x v="0"/>
    <x v="0"/>
  </r>
  <r>
    <x v="1"/>
    <x v="3"/>
    <n v="4.1399999999999997"/>
    <n v="69"/>
    <n v="14.55"/>
    <n v="94"/>
    <d v="2023-03-19T09:50:00"/>
    <d v="2023-03-19T10:59:00"/>
    <m/>
    <m/>
    <x v="2"/>
    <x v="1"/>
    <x v="1"/>
    <x v="1"/>
  </r>
  <r>
    <x v="4"/>
    <x v="0"/>
    <n v="1.01"/>
    <n v="59"/>
    <n v="8.16"/>
    <n v="91"/>
    <d v="2023-03-19T10:00:00"/>
    <d v="2023-03-19T10:59:00"/>
    <d v="2023-03-19T10:05:00"/>
    <d v="2023-03-19T11:04:00"/>
    <x v="0"/>
    <x v="0"/>
    <x v="0"/>
    <x v="0"/>
  </r>
  <r>
    <x v="3"/>
    <x v="4"/>
    <n v="3.55"/>
    <n v="113"/>
    <n v="7.69"/>
    <n v="80"/>
    <d v="2023-03-19T10:10:00"/>
    <d v="2023-03-19T12:03:00"/>
    <d v="2023-03-19T10:10:00"/>
    <d v="2023-03-19T12:03:00"/>
    <x v="0"/>
    <x v="2"/>
    <x v="0"/>
    <x v="0"/>
  </r>
  <r>
    <x v="2"/>
    <x v="3"/>
    <n v="1.1499999999999999"/>
    <n v="46"/>
    <n v="3.01"/>
    <n v="89"/>
    <d v="2023-03-19T10:20:00"/>
    <d v="2023-03-19T11:06:00"/>
    <d v="2023-03-19T10:22:00"/>
    <d v="2023-03-19T11:08:00"/>
    <x v="0"/>
    <x v="2"/>
    <x v="0"/>
    <x v="0"/>
  </r>
  <r>
    <x v="0"/>
    <x v="3"/>
    <n v="4.25"/>
    <n v="118"/>
    <n v="9.57"/>
    <n v="87"/>
    <d v="2023-03-19T10:30:00"/>
    <d v="2023-03-19T12:28:00"/>
    <d v="2023-03-19T10:34:00"/>
    <d v="2023-03-19T12:32:00"/>
    <x v="0"/>
    <x v="0"/>
    <x v="0"/>
    <x v="0"/>
  </r>
  <r>
    <x v="1"/>
    <x v="3"/>
    <n v="3.8"/>
    <n v="54"/>
    <n v="10.3"/>
    <n v="89"/>
    <d v="2023-03-19T10:40:00"/>
    <d v="2023-03-19T11:34:00"/>
    <d v="2023-03-19T10:40:00"/>
    <d v="2023-03-19T11:34:00"/>
    <x v="0"/>
    <x v="0"/>
    <x v="0"/>
    <x v="0"/>
  </r>
  <r>
    <x v="0"/>
    <x v="1"/>
    <n v="2.25"/>
    <n v="58"/>
    <n v="11.7"/>
    <n v="92"/>
    <d v="2023-03-19T10:50:00"/>
    <d v="2023-03-19T11:48:00"/>
    <d v="2023-03-19T10:50:00"/>
    <d v="2023-03-19T11:48:00"/>
    <x v="0"/>
    <x v="0"/>
    <x v="0"/>
    <x v="0"/>
  </r>
  <r>
    <x v="0"/>
    <x v="3"/>
    <n v="4.4000000000000004"/>
    <n v="43"/>
    <n v="10.4"/>
    <n v="80"/>
    <d v="2023-03-19T11:00:00"/>
    <d v="2023-03-19T11:43:00"/>
    <d v="2023-03-19T10:59:00"/>
    <d v="2023-03-19T11:42:00"/>
    <x v="0"/>
    <x v="1"/>
    <x v="0"/>
    <x v="0"/>
  </r>
  <r>
    <x v="3"/>
    <x v="1"/>
    <n v="4.3499999999999996"/>
    <n v="56"/>
    <n v="4.22"/>
    <n v="97"/>
    <d v="2023-03-19T11:10:00"/>
    <d v="2023-03-19T12:06:00"/>
    <d v="2023-03-19T11:20:00"/>
    <d v="2023-03-19T12:16:00"/>
    <x v="1"/>
    <x v="1"/>
    <x v="0"/>
    <x v="0"/>
  </r>
  <r>
    <x v="1"/>
    <x v="3"/>
    <n v="3.28"/>
    <n v="29"/>
    <n v="7.32"/>
    <n v="82"/>
    <d v="2023-03-19T11:20:00"/>
    <d v="2023-03-19T11:49:00"/>
    <d v="2023-03-19T11:24:00"/>
    <d v="2023-03-19T11:53:00"/>
    <x v="0"/>
    <x v="2"/>
    <x v="0"/>
    <x v="0"/>
  </r>
  <r>
    <x v="1"/>
    <x v="1"/>
    <n v="3.71"/>
    <n v="61"/>
    <n v="11.52"/>
    <n v="94"/>
    <d v="2023-03-19T11:30:00"/>
    <d v="2023-03-19T12:31:00"/>
    <m/>
    <m/>
    <x v="2"/>
    <x v="1"/>
    <x v="1"/>
    <x v="1"/>
  </r>
  <r>
    <x v="0"/>
    <x v="0"/>
    <n v="1.29"/>
    <n v="35"/>
    <n v="7.2"/>
    <n v="94"/>
    <d v="2023-03-19T11:40:00"/>
    <d v="2023-03-19T12:15:00"/>
    <d v="2023-03-19T11:45:00"/>
    <d v="2023-03-19T12:20:00"/>
    <x v="0"/>
    <x v="0"/>
    <x v="0"/>
    <x v="0"/>
  </r>
  <r>
    <x v="4"/>
    <x v="0"/>
    <n v="4.51"/>
    <n v="37"/>
    <n v="12.54"/>
    <n v="99"/>
    <d v="2023-03-19T11:50:00"/>
    <d v="2023-03-19T12:27:00"/>
    <d v="2023-03-19T12:14:00"/>
    <d v="2023-03-19T12:51:00"/>
    <x v="1"/>
    <x v="1"/>
    <x v="0"/>
    <x v="0"/>
  </r>
  <r>
    <x v="4"/>
    <x v="2"/>
    <n v="1.36"/>
    <n v="23"/>
    <n v="7.11"/>
    <n v="92"/>
    <d v="2023-03-19T12:00:00"/>
    <d v="2023-03-19T12:23:00"/>
    <d v="2023-03-19T12:00:00"/>
    <d v="2023-03-19T12:23:00"/>
    <x v="0"/>
    <x v="2"/>
    <x v="0"/>
    <x v="0"/>
  </r>
  <r>
    <x v="4"/>
    <x v="3"/>
    <n v="3.54"/>
    <n v="102"/>
    <n v="2.14"/>
    <n v="99"/>
    <d v="2023-03-19T12:10:00"/>
    <d v="2023-03-19T13:52:00"/>
    <d v="2023-03-19T12:07:00"/>
    <d v="2023-03-19T13:49:00"/>
    <x v="0"/>
    <x v="1"/>
    <x v="0"/>
    <x v="0"/>
  </r>
  <r>
    <x v="3"/>
    <x v="4"/>
    <n v="2.58"/>
    <n v="72"/>
    <n v="13.69"/>
    <n v="83"/>
    <d v="2023-03-19T12:20:00"/>
    <d v="2023-03-19T13:32:00"/>
    <d v="2023-03-19T12:16:00"/>
    <d v="2023-03-19T13:28:00"/>
    <x v="0"/>
    <x v="1"/>
    <x v="0"/>
    <x v="0"/>
  </r>
  <r>
    <x v="2"/>
    <x v="2"/>
    <n v="3.08"/>
    <n v="81"/>
    <n v="11.61"/>
    <n v="80"/>
    <d v="2023-03-19T12:30:00"/>
    <d v="2023-03-19T13:51:00"/>
    <m/>
    <m/>
    <x v="2"/>
    <x v="1"/>
    <x v="1"/>
    <x v="1"/>
  </r>
  <r>
    <x v="2"/>
    <x v="1"/>
    <n v="1.85"/>
    <n v="64"/>
    <n v="12.14"/>
    <n v="82"/>
    <d v="2023-03-19T12:40:00"/>
    <d v="2023-03-19T13:44:00"/>
    <d v="2023-03-19T12:43:00"/>
    <d v="2023-03-19T13:47:00"/>
    <x v="0"/>
    <x v="0"/>
    <x v="0"/>
    <x v="0"/>
  </r>
  <r>
    <x v="0"/>
    <x v="1"/>
    <n v="2.44"/>
    <n v="113"/>
    <n v="12.49"/>
    <n v="80"/>
    <d v="2023-03-19T12:50:00"/>
    <d v="2023-03-19T14:43:00"/>
    <d v="2023-03-19T13:18:00"/>
    <d v="2023-03-19T15:11:00"/>
    <x v="1"/>
    <x v="1"/>
    <x v="0"/>
    <x v="0"/>
  </r>
  <r>
    <x v="1"/>
    <x v="2"/>
    <n v="4.82"/>
    <n v="40"/>
    <n v="8.16"/>
    <n v="92"/>
    <d v="2023-03-19T13:00:00"/>
    <d v="2023-03-19T13:40:00"/>
    <m/>
    <m/>
    <x v="2"/>
    <x v="1"/>
    <x v="1"/>
    <x v="1"/>
  </r>
  <r>
    <x v="3"/>
    <x v="3"/>
    <n v="2.39"/>
    <n v="100"/>
    <n v="2.62"/>
    <n v="95"/>
    <d v="2023-03-19T13:10:00"/>
    <d v="2023-03-19T14:50:00"/>
    <d v="2023-03-19T13:12:00"/>
    <d v="2023-03-19T14:52:00"/>
    <x v="0"/>
    <x v="2"/>
    <x v="0"/>
    <x v="0"/>
  </r>
  <r>
    <x v="2"/>
    <x v="4"/>
    <n v="3.51"/>
    <n v="97"/>
    <n v="9.08"/>
    <n v="97"/>
    <d v="2023-03-19T13:20:00"/>
    <d v="2023-03-19T14:57:00"/>
    <d v="2023-03-19T13:22:00"/>
    <d v="2023-03-19T14:59:00"/>
    <x v="0"/>
    <x v="0"/>
    <x v="0"/>
    <x v="0"/>
  </r>
  <r>
    <x v="0"/>
    <x v="4"/>
    <n v="4.43"/>
    <n v="82"/>
    <n v="10.58"/>
    <n v="82"/>
    <d v="2023-03-19T13:30:00"/>
    <d v="2023-03-19T14:52:00"/>
    <d v="2023-03-19T13:25:00"/>
    <d v="2023-03-19T14:47:00"/>
    <x v="0"/>
    <x v="1"/>
    <x v="0"/>
    <x v="0"/>
  </r>
  <r>
    <x v="4"/>
    <x v="2"/>
    <n v="1.58"/>
    <n v="95"/>
    <n v="14.17"/>
    <n v="80"/>
    <d v="2023-03-19T13:40:00"/>
    <d v="2023-03-19T15:15:00"/>
    <d v="2023-03-19T13:58:00"/>
    <d v="2023-03-19T15:33:00"/>
    <x v="1"/>
    <x v="1"/>
    <x v="0"/>
    <x v="0"/>
  </r>
  <r>
    <x v="2"/>
    <x v="1"/>
    <n v="3.46"/>
    <n v="69"/>
    <n v="3.76"/>
    <n v="84"/>
    <d v="2023-03-19T13:50:00"/>
    <d v="2023-03-19T14:59:00"/>
    <d v="2023-03-19T13:48:00"/>
    <d v="2023-03-19T14:57:00"/>
    <x v="0"/>
    <x v="1"/>
    <x v="0"/>
    <x v="0"/>
  </r>
  <r>
    <x v="2"/>
    <x v="4"/>
    <n v="3.55"/>
    <n v="95"/>
    <n v="6.4"/>
    <n v="89"/>
    <d v="2023-03-19T14:00:00"/>
    <d v="2023-03-19T15:35:00"/>
    <d v="2023-03-19T13:59:00"/>
    <d v="2023-03-19T15:34:00"/>
    <x v="0"/>
    <x v="1"/>
    <x v="0"/>
    <x v="0"/>
  </r>
  <r>
    <x v="0"/>
    <x v="3"/>
    <n v="1.49"/>
    <n v="79"/>
    <n v="6.22"/>
    <n v="83"/>
    <d v="2023-03-19T14:10:00"/>
    <d v="2023-03-19T15:29:00"/>
    <m/>
    <m/>
    <x v="2"/>
    <x v="1"/>
    <x v="1"/>
    <x v="1"/>
  </r>
  <r>
    <x v="1"/>
    <x v="4"/>
    <n v="4.1100000000000003"/>
    <n v="106"/>
    <n v="12.25"/>
    <n v="80"/>
    <d v="2023-03-19T14:20:00"/>
    <d v="2023-03-19T16:06:00"/>
    <d v="2023-03-19T14:17:00"/>
    <d v="2023-03-19T16:03:00"/>
    <x v="0"/>
    <x v="1"/>
    <x v="0"/>
    <x v="0"/>
  </r>
  <r>
    <x v="1"/>
    <x v="1"/>
    <n v="3.52"/>
    <n v="89"/>
    <n v="9.6999999999999993"/>
    <n v="99"/>
    <d v="2023-03-19T14:30:00"/>
    <d v="2023-03-19T15:59:00"/>
    <d v="2023-03-19T14:35:00"/>
    <d v="2023-03-19T16:04:00"/>
    <x v="0"/>
    <x v="0"/>
    <x v="0"/>
    <x v="0"/>
  </r>
  <r>
    <x v="1"/>
    <x v="0"/>
    <n v="2"/>
    <n v="50"/>
    <n v="6.07"/>
    <n v="85"/>
    <d v="2023-03-19T14:40:00"/>
    <d v="2023-03-19T15:30:00"/>
    <d v="2023-03-19T14:41:00"/>
    <d v="2023-03-19T15:31:00"/>
    <x v="0"/>
    <x v="2"/>
    <x v="0"/>
    <x v="0"/>
  </r>
  <r>
    <x v="0"/>
    <x v="3"/>
    <n v="1.25"/>
    <n v="70"/>
    <n v="12.13"/>
    <n v="82"/>
    <d v="2023-03-19T14:50:00"/>
    <d v="2023-03-19T16:00:00"/>
    <d v="2023-03-19T14:46:00"/>
    <d v="2023-03-19T15:56:00"/>
    <x v="0"/>
    <x v="1"/>
    <x v="0"/>
    <x v="0"/>
  </r>
  <r>
    <x v="1"/>
    <x v="1"/>
    <n v="1.27"/>
    <n v="110"/>
    <n v="10.29"/>
    <n v="80"/>
    <d v="2023-03-19T15:00:00"/>
    <d v="2023-03-19T16:50:00"/>
    <m/>
    <m/>
    <x v="2"/>
    <x v="1"/>
    <x v="1"/>
    <x v="1"/>
  </r>
  <r>
    <x v="2"/>
    <x v="0"/>
    <n v="2.61"/>
    <n v="90"/>
    <n v="9.18"/>
    <n v="83"/>
    <d v="2023-03-19T15:10:00"/>
    <d v="2023-03-19T16:40:00"/>
    <d v="2023-03-19T15:09:00"/>
    <d v="2023-03-19T16:39:00"/>
    <x v="0"/>
    <x v="1"/>
    <x v="0"/>
    <x v="0"/>
  </r>
  <r>
    <x v="4"/>
    <x v="4"/>
    <n v="3.38"/>
    <n v="50"/>
    <n v="11.6"/>
    <n v="86"/>
    <d v="2023-03-19T15:20:00"/>
    <d v="2023-03-19T16:10:00"/>
    <d v="2023-03-19T15:23:00"/>
    <d v="2023-03-19T16:13:00"/>
    <x v="0"/>
    <x v="0"/>
    <x v="0"/>
    <x v="0"/>
  </r>
  <r>
    <x v="1"/>
    <x v="3"/>
    <n v="1.94"/>
    <n v="50"/>
    <n v="10.25"/>
    <n v="97"/>
    <d v="2023-03-19T15:30:00"/>
    <d v="2023-03-19T16:20:00"/>
    <d v="2023-03-19T15:56:00"/>
    <d v="2023-03-19T16:46:00"/>
    <x v="1"/>
    <x v="1"/>
    <x v="0"/>
    <x v="0"/>
  </r>
  <r>
    <x v="0"/>
    <x v="3"/>
    <n v="4.16"/>
    <n v="114"/>
    <n v="5.81"/>
    <n v="89"/>
    <d v="2023-03-19T15:40:00"/>
    <d v="2023-03-19T17:34:00"/>
    <d v="2023-03-19T15:45:00"/>
    <d v="2023-03-19T17:39:00"/>
    <x v="0"/>
    <x v="2"/>
    <x v="0"/>
    <x v="0"/>
  </r>
  <r>
    <x v="4"/>
    <x v="4"/>
    <n v="1.04"/>
    <n v="100"/>
    <n v="6.93"/>
    <n v="82"/>
    <d v="2023-03-19T15:50:00"/>
    <d v="2023-03-19T17:30:00"/>
    <d v="2023-03-19T15:47:00"/>
    <d v="2023-03-19T17:27:00"/>
    <x v="0"/>
    <x v="1"/>
    <x v="0"/>
    <x v="0"/>
  </r>
  <r>
    <x v="1"/>
    <x v="4"/>
    <n v="4.82"/>
    <n v="80"/>
    <n v="14.08"/>
    <n v="80"/>
    <d v="2023-03-19T16:00:00"/>
    <d v="2023-03-19T17:20:00"/>
    <d v="2023-03-19T16:00:00"/>
    <d v="2023-03-19T17:20:00"/>
    <x v="0"/>
    <x v="0"/>
    <x v="0"/>
    <x v="0"/>
  </r>
  <r>
    <x v="4"/>
    <x v="2"/>
    <n v="4.8099999999999996"/>
    <n v="57"/>
    <n v="8.84"/>
    <n v="94"/>
    <d v="2023-03-19T16:10:00"/>
    <d v="2023-03-19T17:07:00"/>
    <d v="2023-03-19T16:15:00"/>
    <d v="2023-03-19T17:12:00"/>
    <x v="0"/>
    <x v="0"/>
    <x v="0"/>
    <x v="0"/>
  </r>
  <r>
    <x v="2"/>
    <x v="4"/>
    <n v="2.5299999999999998"/>
    <n v="88"/>
    <n v="7.32"/>
    <n v="87"/>
    <d v="2023-03-19T16:20:00"/>
    <d v="2023-03-19T17:48:00"/>
    <d v="2023-03-19T16:25:00"/>
    <d v="2023-03-19T17:53:00"/>
    <x v="0"/>
    <x v="0"/>
    <x v="0"/>
    <x v="0"/>
  </r>
  <r>
    <x v="2"/>
    <x v="4"/>
    <n v="1.48"/>
    <n v="56"/>
    <n v="8.84"/>
    <n v="93"/>
    <d v="2023-03-19T16:30:00"/>
    <d v="2023-03-19T17:26:00"/>
    <d v="2023-03-19T16:27:00"/>
    <d v="2023-03-19T17:23:00"/>
    <x v="0"/>
    <x v="1"/>
    <x v="0"/>
    <x v="0"/>
  </r>
  <r>
    <x v="3"/>
    <x v="4"/>
    <n v="1.01"/>
    <n v="21"/>
    <n v="9.75"/>
    <n v="88"/>
    <d v="2023-03-19T16:40:00"/>
    <d v="2023-03-19T17:01:00"/>
    <d v="2023-03-19T16:52:00"/>
    <d v="2023-03-19T17:13:00"/>
    <x v="1"/>
    <x v="1"/>
    <x v="0"/>
    <x v="0"/>
  </r>
  <r>
    <x v="1"/>
    <x v="3"/>
    <n v="2.33"/>
    <n v="74"/>
    <n v="2.46"/>
    <n v="92"/>
    <d v="2023-03-19T16:50:00"/>
    <d v="2023-03-19T18:04:00"/>
    <d v="2023-03-19T16:51:00"/>
    <d v="2023-03-19T18:05:00"/>
    <x v="0"/>
    <x v="3"/>
    <x v="0"/>
    <x v="0"/>
  </r>
  <r>
    <x v="1"/>
    <x v="2"/>
    <n v="4.5199999999999996"/>
    <n v="90"/>
    <n v="7.61"/>
    <n v="94"/>
    <d v="2023-03-19T17:00:00"/>
    <d v="2023-03-19T18:30:00"/>
    <d v="2023-03-19T17:00:00"/>
    <d v="2023-03-19T18:30:00"/>
    <x v="0"/>
    <x v="2"/>
    <x v="0"/>
    <x v="0"/>
  </r>
  <r>
    <x v="2"/>
    <x v="2"/>
    <n v="2.04"/>
    <n v="84"/>
    <n v="7.96"/>
    <n v="94"/>
    <d v="2023-03-19T17:10:00"/>
    <d v="2023-03-19T18:34:00"/>
    <d v="2023-03-19T17:08:00"/>
    <d v="2023-03-19T18:32:00"/>
    <x v="0"/>
    <x v="1"/>
    <x v="0"/>
    <x v="0"/>
  </r>
  <r>
    <x v="1"/>
    <x v="1"/>
    <n v="2.14"/>
    <n v="52"/>
    <n v="9.24"/>
    <n v="95"/>
    <d v="2023-03-19T17:20:00"/>
    <d v="2023-03-19T18:12:00"/>
    <m/>
    <m/>
    <x v="2"/>
    <x v="1"/>
    <x v="1"/>
    <x v="1"/>
  </r>
  <r>
    <x v="2"/>
    <x v="4"/>
    <n v="4.62"/>
    <n v="82"/>
    <n v="10.119999999999999"/>
    <n v="90"/>
    <d v="2023-03-19T17:30:00"/>
    <d v="2023-03-19T18:52:00"/>
    <m/>
    <m/>
    <x v="2"/>
    <x v="1"/>
    <x v="1"/>
    <x v="1"/>
  </r>
  <r>
    <x v="3"/>
    <x v="1"/>
    <n v="1.91"/>
    <n v="61"/>
    <n v="3.81"/>
    <n v="89"/>
    <d v="2023-03-19T17:40:00"/>
    <d v="2023-03-19T18:41:00"/>
    <d v="2023-03-19T18:04:00"/>
    <d v="2023-03-19T19:05:00"/>
    <x v="1"/>
    <x v="1"/>
    <x v="0"/>
    <x v="0"/>
  </r>
  <r>
    <x v="2"/>
    <x v="0"/>
    <n v="1.66"/>
    <n v="113"/>
    <n v="5.93"/>
    <n v="80"/>
    <d v="2023-03-19T17:50:00"/>
    <d v="2023-03-19T19:43:00"/>
    <d v="2023-03-19T17:47:00"/>
    <d v="2023-03-19T19:40:00"/>
    <x v="0"/>
    <x v="1"/>
    <x v="0"/>
    <x v="0"/>
  </r>
  <r>
    <x v="1"/>
    <x v="3"/>
    <n v="1.02"/>
    <n v="89"/>
    <n v="10.18"/>
    <n v="82"/>
    <d v="2023-03-19T18:00:00"/>
    <d v="2023-03-19T19:29:00"/>
    <m/>
    <m/>
    <x v="2"/>
    <x v="1"/>
    <x v="1"/>
    <x v="1"/>
  </r>
  <r>
    <x v="1"/>
    <x v="0"/>
    <n v="2.5"/>
    <n v="89"/>
    <n v="3.08"/>
    <n v="92"/>
    <d v="2023-03-19T18:10:00"/>
    <d v="2023-03-19T19:39:00"/>
    <d v="2023-03-19T18:33:00"/>
    <d v="2023-03-19T20:02:00"/>
    <x v="1"/>
    <x v="1"/>
    <x v="0"/>
    <x v="0"/>
  </r>
  <r>
    <x v="3"/>
    <x v="3"/>
    <n v="3.41"/>
    <n v="21"/>
    <n v="3.53"/>
    <n v="82"/>
    <d v="2023-03-19T18:20:00"/>
    <d v="2023-03-19T18:41:00"/>
    <d v="2023-03-19T18:17:00"/>
    <d v="2023-03-19T18:38:00"/>
    <x v="0"/>
    <x v="1"/>
    <x v="0"/>
    <x v="0"/>
  </r>
  <r>
    <x v="0"/>
    <x v="0"/>
    <n v="3.27"/>
    <n v="20"/>
    <n v="5.0599999999999996"/>
    <n v="85"/>
    <d v="2023-03-19T18:30:00"/>
    <d v="2023-03-19T18:50:00"/>
    <d v="2023-03-19T18:30:00"/>
    <d v="2023-03-19T18:50:00"/>
    <x v="0"/>
    <x v="2"/>
    <x v="0"/>
    <x v="0"/>
  </r>
  <r>
    <x v="0"/>
    <x v="0"/>
    <n v="2.34"/>
    <n v="106"/>
    <n v="11.95"/>
    <n v="83"/>
    <d v="2023-03-19T18:40:00"/>
    <d v="2023-03-19T20:26:00"/>
    <d v="2023-03-19T18:55:00"/>
    <d v="2023-03-19T20:41:00"/>
    <x v="1"/>
    <x v="1"/>
    <x v="0"/>
    <x v="0"/>
  </r>
  <r>
    <x v="1"/>
    <x v="4"/>
    <n v="1.1000000000000001"/>
    <n v="76"/>
    <n v="10.49"/>
    <n v="80"/>
    <d v="2023-03-19T18:50:00"/>
    <d v="2023-03-19T20:06:00"/>
    <d v="2023-03-19T18:51:00"/>
    <d v="2023-03-19T20:07:00"/>
    <x v="0"/>
    <x v="0"/>
    <x v="0"/>
    <x v="0"/>
  </r>
  <r>
    <x v="4"/>
    <x v="3"/>
    <n v="1.66"/>
    <n v="25"/>
    <n v="8.39"/>
    <n v="80"/>
    <d v="2023-03-19T19:00:00"/>
    <d v="2023-03-19T19:25:00"/>
    <d v="2023-03-19T18:59:00"/>
    <d v="2023-03-19T19:24:00"/>
    <x v="0"/>
    <x v="1"/>
    <x v="0"/>
    <x v="0"/>
  </r>
  <r>
    <x v="0"/>
    <x v="3"/>
    <n v="1.45"/>
    <n v="96"/>
    <n v="4.2699999999999996"/>
    <n v="98"/>
    <d v="2023-03-19T19:10:00"/>
    <d v="2023-03-19T20:46:00"/>
    <d v="2023-03-19T19:13:00"/>
    <d v="2023-03-19T20:49:00"/>
    <x v="0"/>
    <x v="2"/>
    <x v="0"/>
    <x v="0"/>
  </r>
  <r>
    <x v="4"/>
    <x v="0"/>
    <n v="1.04"/>
    <n v="53"/>
    <n v="4.49"/>
    <n v="84"/>
    <d v="2023-03-19T19:20:00"/>
    <d v="2023-03-19T20:13:00"/>
    <m/>
    <m/>
    <x v="2"/>
    <x v="1"/>
    <x v="1"/>
    <x v="1"/>
  </r>
  <r>
    <x v="1"/>
    <x v="0"/>
    <n v="2.39"/>
    <n v="36"/>
    <n v="4.59"/>
    <n v="85"/>
    <d v="2023-03-19T19:30:00"/>
    <d v="2023-03-19T20:06:00"/>
    <d v="2023-03-19T19:27:00"/>
    <d v="2023-03-19T20:03:00"/>
    <x v="0"/>
    <x v="1"/>
    <x v="0"/>
    <x v="0"/>
  </r>
  <r>
    <x v="2"/>
    <x v="3"/>
    <n v="4.79"/>
    <n v="43"/>
    <n v="6.1"/>
    <n v="91"/>
    <d v="2023-03-19T19:40:00"/>
    <d v="2023-03-19T20:23:00"/>
    <d v="2023-03-19T19:44:00"/>
    <d v="2023-03-19T20:27:00"/>
    <x v="0"/>
    <x v="2"/>
    <x v="0"/>
    <x v="0"/>
  </r>
  <r>
    <x v="0"/>
    <x v="2"/>
    <n v="3.51"/>
    <n v="42"/>
    <n v="10.46"/>
    <n v="95"/>
    <d v="2023-03-19T19:50:00"/>
    <d v="2023-03-19T20:32:00"/>
    <d v="2023-03-19T19:50:00"/>
    <d v="2023-03-19T20:32:00"/>
    <x v="0"/>
    <x v="0"/>
    <x v="0"/>
    <x v="0"/>
  </r>
  <r>
    <x v="2"/>
    <x v="0"/>
    <n v="3.35"/>
    <n v="109"/>
    <n v="4.75"/>
    <n v="95"/>
    <d v="2023-03-19T20:00:00"/>
    <d v="2023-03-19T21:49:00"/>
    <d v="2023-03-19T19:56:00"/>
    <d v="2023-03-19T21:45:00"/>
    <x v="0"/>
    <x v="1"/>
    <x v="0"/>
    <x v="0"/>
  </r>
  <r>
    <x v="3"/>
    <x v="1"/>
    <n v="2.58"/>
    <n v="71"/>
    <n v="10.74"/>
    <n v="84"/>
    <d v="2023-03-19T20:10:00"/>
    <d v="2023-03-19T21:21:00"/>
    <d v="2023-03-19T20:29:00"/>
    <d v="2023-03-19T21:40:00"/>
    <x v="1"/>
    <x v="1"/>
    <x v="0"/>
    <x v="0"/>
  </r>
  <r>
    <x v="3"/>
    <x v="1"/>
    <n v="1.46"/>
    <n v="107"/>
    <n v="11.19"/>
    <n v="97"/>
    <d v="2023-03-19T20:20:00"/>
    <d v="2023-03-19T22:07:00"/>
    <d v="2023-03-19T20:19:00"/>
    <d v="2023-03-19T22:06:00"/>
    <x v="0"/>
    <x v="1"/>
    <x v="0"/>
    <x v="0"/>
  </r>
  <r>
    <x v="3"/>
    <x v="3"/>
    <n v="1.62"/>
    <n v="70"/>
    <n v="4.22"/>
    <n v="81"/>
    <d v="2023-03-19T20:30:00"/>
    <d v="2023-03-19T21:40:00"/>
    <d v="2023-03-19T20:27:00"/>
    <d v="2023-03-19T21:37:00"/>
    <x v="0"/>
    <x v="1"/>
    <x v="0"/>
    <x v="0"/>
  </r>
  <r>
    <x v="2"/>
    <x v="4"/>
    <n v="1.66"/>
    <n v="95"/>
    <n v="10.49"/>
    <n v="81"/>
    <d v="2023-03-19T20:40:00"/>
    <d v="2023-03-19T22:15:00"/>
    <d v="2023-03-19T21:04:00"/>
    <d v="2023-03-19T22:39:00"/>
    <x v="1"/>
    <x v="1"/>
    <x v="0"/>
    <x v="0"/>
  </r>
  <r>
    <x v="4"/>
    <x v="2"/>
    <n v="1.27"/>
    <n v="119"/>
    <n v="3.14"/>
    <n v="89"/>
    <d v="2023-03-19T20:50:00"/>
    <d v="2023-03-19T22:49:00"/>
    <m/>
    <m/>
    <x v="2"/>
    <x v="1"/>
    <x v="1"/>
    <x v="1"/>
  </r>
  <r>
    <x v="0"/>
    <x v="1"/>
    <n v="2.39"/>
    <n v="58"/>
    <n v="10.74"/>
    <n v="92"/>
    <d v="2023-03-19T21:00:00"/>
    <d v="2023-03-19T21:58:00"/>
    <m/>
    <m/>
    <x v="2"/>
    <x v="1"/>
    <x v="1"/>
    <x v="1"/>
  </r>
  <r>
    <x v="3"/>
    <x v="4"/>
    <n v="3.61"/>
    <n v="85"/>
    <n v="9.6300000000000008"/>
    <n v="99"/>
    <d v="2023-03-19T21:10:00"/>
    <d v="2023-03-19T22:35:00"/>
    <d v="2023-03-19T21:36:00"/>
    <d v="2023-03-19T23:01:00"/>
    <x v="1"/>
    <x v="1"/>
    <x v="0"/>
    <x v="0"/>
  </r>
  <r>
    <x v="4"/>
    <x v="3"/>
    <n v="4.5199999999999996"/>
    <n v="22"/>
    <n v="13.02"/>
    <n v="80"/>
    <d v="2023-03-19T21:20:00"/>
    <d v="2023-03-19T21:42:00"/>
    <d v="2023-03-19T21:20:00"/>
    <d v="2023-03-19T21:42:00"/>
    <x v="0"/>
    <x v="0"/>
    <x v="0"/>
    <x v="0"/>
  </r>
  <r>
    <x v="1"/>
    <x v="0"/>
    <n v="3.11"/>
    <n v="105"/>
    <n v="7.9"/>
    <n v="88"/>
    <d v="2023-03-19T21:30:00"/>
    <d v="2023-03-19T23:15:00"/>
    <d v="2023-03-19T21:27:00"/>
    <d v="2023-03-19T23:12:00"/>
    <x v="0"/>
    <x v="1"/>
    <x v="0"/>
    <x v="0"/>
  </r>
  <r>
    <x v="3"/>
    <x v="4"/>
    <n v="3.25"/>
    <n v="109"/>
    <n v="6.97"/>
    <n v="81"/>
    <d v="2023-03-19T21:40:00"/>
    <d v="2023-03-19T23:29:00"/>
    <d v="2023-03-19T21:53:00"/>
    <d v="2023-03-19T23:42:00"/>
    <x v="1"/>
    <x v="1"/>
    <x v="0"/>
    <x v="0"/>
  </r>
  <r>
    <x v="2"/>
    <x v="2"/>
    <n v="4.66"/>
    <n v="77"/>
    <n v="8.4700000000000006"/>
    <n v="82"/>
    <d v="2023-03-19T21:50:00"/>
    <d v="2023-03-19T23:07:00"/>
    <d v="2023-03-19T21:47:00"/>
    <d v="2023-03-19T23:04:00"/>
    <x v="0"/>
    <x v="1"/>
    <x v="0"/>
    <x v="0"/>
  </r>
  <r>
    <x v="0"/>
    <x v="3"/>
    <n v="4.49"/>
    <n v="59"/>
    <n v="13.77"/>
    <n v="83"/>
    <d v="2023-03-19T22:00:00"/>
    <d v="2023-03-19T22:59:00"/>
    <d v="2023-03-19T22:00:00"/>
    <d v="2023-03-19T22:59:00"/>
    <x v="0"/>
    <x v="0"/>
    <x v="0"/>
    <x v="0"/>
  </r>
  <r>
    <x v="0"/>
    <x v="3"/>
    <n v="2.36"/>
    <n v="65"/>
    <n v="11.13"/>
    <n v="88"/>
    <d v="2023-03-19T22:10:00"/>
    <d v="2023-03-19T23:15:00"/>
    <d v="2023-03-19T22:13:00"/>
    <d v="2023-03-19T23:18:00"/>
    <x v="0"/>
    <x v="0"/>
    <x v="0"/>
    <x v="0"/>
  </r>
  <r>
    <x v="2"/>
    <x v="1"/>
    <n v="3.44"/>
    <n v="36"/>
    <n v="14.64"/>
    <n v="81"/>
    <d v="2023-03-19T22:20:00"/>
    <d v="2023-03-19T22:56:00"/>
    <m/>
    <m/>
    <x v="2"/>
    <x v="1"/>
    <x v="1"/>
    <x v="1"/>
  </r>
  <r>
    <x v="0"/>
    <x v="0"/>
    <n v="3.62"/>
    <n v="106"/>
    <n v="11.48"/>
    <n v="98"/>
    <d v="2023-03-19T22:30:00"/>
    <d v="2023-03-20T00:16:00"/>
    <d v="2023-03-19T22:27:00"/>
    <d v="2023-03-20T00:13:00"/>
    <x v="0"/>
    <x v="1"/>
    <x v="0"/>
    <x v="0"/>
  </r>
  <r>
    <x v="1"/>
    <x v="3"/>
    <n v="3.03"/>
    <n v="88"/>
    <n v="2.35"/>
    <n v="81"/>
    <d v="2023-03-19T22:40:00"/>
    <d v="2023-03-20T00:08:00"/>
    <d v="2023-03-19T22:38:00"/>
    <d v="2023-03-20T00:06:00"/>
    <x v="0"/>
    <x v="1"/>
    <x v="0"/>
    <x v="0"/>
  </r>
  <r>
    <x v="0"/>
    <x v="0"/>
    <n v="4.3099999999999996"/>
    <n v="111"/>
    <n v="9.9499999999999993"/>
    <n v="98"/>
    <d v="2023-03-19T22:50:00"/>
    <d v="2023-03-20T00:41:00"/>
    <d v="2023-03-19T22:51:00"/>
    <d v="2023-03-20T00:42:00"/>
    <x v="0"/>
    <x v="0"/>
    <x v="0"/>
    <x v="0"/>
  </r>
  <r>
    <x v="4"/>
    <x v="2"/>
    <n v="4.37"/>
    <n v="56"/>
    <n v="6.94"/>
    <n v="89"/>
    <d v="2023-03-19T23:00:00"/>
    <d v="2023-03-19T23:56:00"/>
    <d v="2023-03-19T22:57:00"/>
    <d v="2023-03-19T23:53:00"/>
    <x v="0"/>
    <x v="1"/>
    <x v="0"/>
    <x v="0"/>
  </r>
  <r>
    <x v="2"/>
    <x v="2"/>
    <n v="4.49"/>
    <n v="26"/>
    <n v="7.84"/>
    <n v="97"/>
    <d v="2023-03-19T23:10:00"/>
    <d v="2023-03-19T23:36:00"/>
    <d v="2023-03-19T23:10:00"/>
    <d v="2023-03-19T23:36:00"/>
    <x v="0"/>
    <x v="2"/>
    <x v="0"/>
    <x v="0"/>
  </r>
  <r>
    <x v="0"/>
    <x v="0"/>
    <n v="3.53"/>
    <n v="83"/>
    <n v="6.17"/>
    <n v="83"/>
    <d v="2023-03-19T23:20:00"/>
    <d v="2023-03-20T00:43:00"/>
    <d v="2023-03-19T23:23:00"/>
    <d v="2023-03-20T00:46:00"/>
    <x v="0"/>
    <x v="2"/>
    <x v="0"/>
    <x v="0"/>
  </r>
  <r>
    <x v="3"/>
    <x v="1"/>
    <n v="4.0999999999999996"/>
    <n v="95"/>
    <n v="7.18"/>
    <n v="89"/>
    <d v="2023-03-19T23:30:00"/>
    <d v="2023-03-20T01:05:00"/>
    <d v="2023-03-19T23:28:00"/>
    <d v="2023-03-20T01:03:00"/>
    <x v="0"/>
    <x v="1"/>
    <x v="0"/>
    <x v="0"/>
  </r>
  <r>
    <x v="4"/>
    <x v="2"/>
    <n v="4.42"/>
    <n v="89"/>
    <n v="2.79"/>
    <n v="93"/>
    <d v="2023-03-19T23:40:00"/>
    <d v="2023-03-20T01:09:00"/>
    <m/>
    <m/>
    <x v="2"/>
    <x v="1"/>
    <x v="1"/>
    <x v="1"/>
  </r>
  <r>
    <x v="2"/>
    <x v="0"/>
    <n v="3.88"/>
    <n v="22"/>
    <n v="9.51"/>
    <n v="92"/>
    <d v="2023-03-19T23:50:00"/>
    <d v="2023-03-20T00:12:00"/>
    <m/>
    <m/>
    <x v="2"/>
    <x v="1"/>
    <x v="1"/>
    <x v="1"/>
  </r>
  <r>
    <x v="0"/>
    <x v="3"/>
    <n v="2.65"/>
    <n v="95"/>
    <n v="9.52"/>
    <n v="91"/>
    <d v="2023-03-20T00:00:00"/>
    <d v="2023-03-20T01:35:00"/>
    <d v="2023-03-20T00:01:00"/>
    <d v="2023-03-20T01:36:00"/>
    <x v="0"/>
    <x v="0"/>
    <x v="0"/>
    <x v="0"/>
  </r>
  <r>
    <x v="3"/>
    <x v="2"/>
    <n v="4.51"/>
    <n v="102"/>
    <n v="10.33"/>
    <n v="97"/>
    <d v="2023-03-20T00:10:00"/>
    <d v="2023-03-20T01:52:00"/>
    <d v="2023-03-20T00:05:00"/>
    <d v="2023-03-20T01:47:00"/>
    <x v="0"/>
    <x v="1"/>
    <x v="0"/>
    <x v="0"/>
  </r>
  <r>
    <x v="2"/>
    <x v="2"/>
    <n v="2.34"/>
    <n v="56"/>
    <n v="4.43"/>
    <n v="85"/>
    <d v="2023-03-20T00:20:00"/>
    <d v="2023-03-20T01:16:00"/>
    <d v="2023-03-20T00:22:00"/>
    <d v="2023-03-20T01:18:00"/>
    <x v="0"/>
    <x v="2"/>
    <x v="0"/>
    <x v="0"/>
  </r>
  <r>
    <x v="4"/>
    <x v="0"/>
    <n v="3.75"/>
    <n v="42"/>
    <n v="10.91"/>
    <n v="91"/>
    <d v="2023-03-20T00:30:00"/>
    <d v="2023-03-20T01:12:00"/>
    <d v="2023-03-20T00:50:00"/>
    <d v="2023-03-20T01:32:00"/>
    <x v="1"/>
    <x v="1"/>
    <x v="0"/>
    <x v="0"/>
  </r>
  <r>
    <x v="2"/>
    <x v="1"/>
    <n v="2.86"/>
    <n v="25"/>
    <n v="2.84"/>
    <n v="82"/>
    <d v="2023-03-20T00:40:00"/>
    <d v="2023-03-20T01:05:00"/>
    <d v="2023-03-20T00:42:00"/>
    <d v="2023-03-20T01:07:00"/>
    <x v="0"/>
    <x v="2"/>
    <x v="0"/>
    <x v="0"/>
  </r>
  <r>
    <x v="0"/>
    <x v="3"/>
    <n v="1.69"/>
    <n v="40"/>
    <n v="3.02"/>
    <n v="90"/>
    <d v="2023-03-20T00:50:00"/>
    <d v="2023-03-20T01:30:00"/>
    <d v="2023-03-20T00:48:00"/>
    <d v="2023-03-20T01:28:00"/>
    <x v="0"/>
    <x v="1"/>
    <x v="0"/>
    <x v="0"/>
  </r>
  <r>
    <x v="2"/>
    <x v="3"/>
    <n v="4.8099999999999996"/>
    <n v="84"/>
    <n v="12.46"/>
    <n v="95"/>
    <d v="2023-03-20T01:00:00"/>
    <d v="2023-03-20T02:24:00"/>
    <d v="2023-03-20T00:55:00"/>
    <d v="2023-03-20T02:19:00"/>
    <x v="0"/>
    <x v="1"/>
    <x v="0"/>
    <x v="0"/>
  </r>
  <r>
    <x v="0"/>
    <x v="4"/>
    <n v="4.07"/>
    <n v="51"/>
    <n v="5.84"/>
    <n v="91"/>
    <d v="2023-03-20T01:10:00"/>
    <d v="2023-03-20T02:01:00"/>
    <d v="2023-03-20T01:07:00"/>
    <d v="2023-03-20T01:58:00"/>
    <x v="0"/>
    <x v="1"/>
    <x v="0"/>
    <x v="0"/>
  </r>
  <r>
    <x v="4"/>
    <x v="3"/>
    <n v="1.48"/>
    <n v="67"/>
    <n v="3.71"/>
    <n v="94"/>
    <d v="2023-03-20T01:20:00"/>
    <d v="2023-03-20T02:27:00"/>
    <d v="2023-03-20T01:20:00"/>
    <d v="2023-03-20T02:27:00"/>
    <x v="0"/>
    <x v="2"/>
    <x v="0"/>
    <x v="0"/>
  </r>
  <r>
    <x v="2"/>
    <x v="3"/>
    <n v="1.32"/>
    <n v="79"/>
    <n v="6.4"/>
    <n v="96"/>
    <d v="2023-03-20T01:30:00"/>
    <d v="2023-03-20T02:49:00"/>
    <d v="2023-03-20T01:26:00"/>
    <d v="2023-03-20T02:45:00"/>
    <x v="0"/>
    <x v="1"/>
    <x v="0"/>
    <x v="0"/>
  </r>
  <r>
    <x v="0"/>
    <x v="3"/>
    <n v="1.02"/>
    <n v="21"/>
    <n v="8.57"/>
    <n v="89"/>
    <d v="2023-03-20T01:40:00"/>
    <d v="2023-03-20T02:01:00"/>
    <d v="2023-03-20T01:37:00"/>
    <d v="2023-03-20T01:58:00"/>
    <x v="0"/>
    <x v="1"/>
    <x v="0"/>
    <x v="0"/>
  </r>
  <r>
    <x v="3"/>
    <x v="3"/>
    <n v="4.59"/>
    <n v="38"/>
    <n v="13.14"/>
    <n v="96"/>
    <d v="2023-03-20T01:50:00"/>
    <d v="2023-03-20T02:28:00"/>
    <d v="2023-03-20T01:46:00"/>
    <d v="2023-03-20T02:24:00"/>
    <x v="0"/>
    <x v="1"/>
    <x v="0"/>
    <x v="0"/>
  </r>
  <r>
    <x v="0"/>
    <x v="3"/>
    <n v="4.49"/>
    <n v="43"/>
    <n v="9.9"/>
    <n v="87"/>
    <d v="2023-03-20T02:00:00"/>
    <d v="2023-03-20T02:43:00"/>
    <d v="2023-03-20T02:01:00"/>
    <d v="2023-03-20T02:44:00"/>
    <x v="0"/>
    <x v="0"/>
    <x v="0"/>
    <x v="0"/>
  </r>
  <r>
    <x v="3"/>
    <x v="3"/>
    <n v="1.32"/>
    <n v="38"/>
    <n v="14.38"/>
    <n v="92"/>
    <d v="2023-03-20T02:10:00"/>
    <d v="2023-03-20T02:48:00"/>
    <d v="2023-03-20T02:38:00"/>
    <d v="2023-03-20T03:16:00"/>
    <x v="1"/>
    <x v="1"/>
    <x v="0"/>
    <x v="0"/>
  </r>
  <r>
    <x v="0"/>
    <x v="0"/>
    <n v="1.82"/>
    <n v="38"/>
    <n v="11.78"/>
    <n v="83"/>
    <d v="2023-03-20T02:20:00"/>
    <d v="2023-03-20T02:58:00"/>
    <d v="2023-03-20T02:18:00"/>
    <d v="2023-03-20T02:56:00"/>
    <x v="0"/>
    <x v="1"/>
    <x v="0"/>
    <x v="0"/>
  </r>
  <r>
    <x v="0"/>
    <x v="0"/>
    <n v="1.73"/>
    <n v="60"/>
    <n v="4.8899999999999997"/>
    <n v="82"/>
    <d v="2023-03-20T02:30:00"/>
    <d v="2023-03-20T03:30:00"/>
    <d v="2023-03-20T02:31:00"/>
    <d v="2023-03-20T03:31:00"/>
    <x v="0"/>
    <x v="2"/>
    <x v="0"/>
    <x v="0"/>
  </r>
  <r>
    <x v="2"/>
    <x v="1"/>
    <n v="2.86"/>
    <n v="120"/>
    <n v="5.09"/>
    <n v="82"/>
    <d v="2023-03-20T02:40:00"/>
    <d v="2023-03-20T04:40:00"/>
    <d v="2023-03-20T02:42:00"/>
    <d v="2023-03-20T04:42:00"/>
    <x v="0"/>
    <x v="2"/>
    <x v="0"/>
    <x v="0"/>
  </r>
  <r>
    <x v="3"/>
    <x v="4"/>
    <n v="1.58"/>
    <n v="28"/>
    <n v="9.23"/>
    <n v="88"/>
    <d v="2023-03-20T02:50:00"/>
    <d v="2023-03-20T03:18:00"/>
    <d v="2023-03-20T02:49:00"/>
    <d v="2023-03-20T03:17:00"/>
    <x v="0"/>
    <x v="1"/>
    <x v="0"/>
    <x v="0"/>
  </r>
  <r>
    <x v="4"/>
    <x v="2"/>
    <n v="2.91"/>
    <n v="24"/>
    <n v="7.41"/>
    <n v="95"/>
    <d v="2023-03-20T03:00:00"/>
    <d v="2023-03-20T03:24:00"/>
    <d v="2023-03-20T02:58:00"/>
    <d v="2023-03-20T03:22:00"/>
    <x v="0"/>
    <x v="1"/>
    <x v="0"/>
    <x v="0"/>
  </r>
  <r>
    <x v="1"/>
    <x v="3"/>
    <n v="4.3499999999999996"/>
    <n v="47"/>
    <n v="4.55"/>
    <n v="95"/>
    <d v="2023-03-20T03:10:00"/>
    <d v="2023-03-20T03:57:00"/>
    <m/>
    <m/>
    <x v="2"/>
    <x v="1"/>
    <x v="1"/>
    <x v="1"/>
  </r>
  <r>
    <x v="0"/>
    <x v="4"/>
    <n v="3.48"/>
    <n v="104"/>
    <n v="4.72"/>
    <n v="88"/>
    <d v="2023-03-20T03:20:00"/>
    <d v="2023-03-20T05:04:00"/>
    <d v="2023-03-20T03:42:00"/>
    <d v="2023-03-20T05:26:00"/>
    <x v="1"/>
    <x v="1"/>
    <x v="0"/>
    <x v="0"/>
  </r>
  <r>
    <x v="3"/>
    <x v="0"/>
    <n v="4.82"/>
    <n v="114"/>
    <n v="4.24"/>
    <n v="90"/>
    <d v="2023-03-20T03:30:00"/>
    <d v="2023-03-20T05:24:00"/>
    <m/>
    <m/>
    <x v="2"/>
    <x v="1"/>
    <x v="1"/>
    <x v="1"/>
  </r>
  <r>
    <x v="1"/>
    <x v="2"/>
    <n v="3.65"/>
    <n v="38"/>
    <n v="14.87"/>
    <n v="80"/>
    <d v="2023-03-20T03:40:00"/>
    <d v="2023-03-20T04:18:00"/>
    <d v="2023-03-20T03:42:00"/>
    <d v="2023-03-20T04:20:00"/>
    <x v="0"/>
    <x v="0"/>
    <x v="0"/>
    <x v="0"/>
  </r>
  <r>
    <x v="1"/>
    <x v="0"/>
    <n v="2.61"/>
    <n v="72"/>
    <n v="13.92"/>
    <n v="86"/>
    <d v="2023-03-20T03:50:00"/>
    <d v="2023-03-20T05:02:00"/>
    <d v="2023-03-20T04:16:00"/>
    <d v="2023-03-20T05:28:00"/>
    <x v="1"/>
    <x v="1"/>
    <x v="0"/>
    <x v="0"/>
  </r>
  <r>
    <x v="1"/>
    <x v="3"/>
    <n v="2.77"/>
    <n v="97"/>
    <n v="6.15"/>
    <n v="82"/>
    <d v="2023-03-20T04:00:00"/>
    <d v="2023-03-20T05:37:00"/>
    <d v="2023-03-20T03:58:00"/>
    <d v="2023-03-20T05:35:00"/>
    <x v="0"/>
    <x v="1"/>
    <x v="0"/>
    <x v="0"/>
  </r>
  <r>
    <x v="3"/>
    <x v="3"/>
    <n v="2.68"/>
    <n v="96"/>
    <n v="12.26"/>
    <n v="96"/>
    <d v="2023-03-20T04:10:00"/>
    <d v="2023-03-20T05:46:00"/>
    <d v="2023-03-20T04:23:00"/>
    <d v="2023-03-20T05:59:00"/>
    <x v="1"/>
    <x v="1"/>
    <x v="0"/>
    <x v="0"/>
  </r>
  <r>
    <x v="2"/>
    <x v="4"/>
    <n v="4.42"/>
    <n v="101"/>
    <n v="8.25"/>
    <n v="80"/>
    <d v="2023-03-20T04:20:00"/>
    <d v="2023-03-20T06:01:00"/>
    <d v="2023-03-20T04:19:00"/>
    <d v="2023-03-20T06:00:00"/>
    <x v="0"/>
    <x v="1"/>
    <x v="0"/>
    <x v="0"/>
  </r>
  <r>
    <x v="1"/>
    <x v="2"/>
    <n v="4.24"/>
    <n v="105"/>
    <n v="6.98"/>
    <n v="93"/>
    <d v="2023-03-20T04:30:00"/>
    <d v="2023-03-20T06:15:00"/>
    <d v="2023-03-20T04:34:00"/>
    <d v="2023-03-20T06:19:00"/>
    <x v="0"/>
    <x v="2"/>
    <x v="0"/>
    <x v="0"/>
  </r>
  <r>
    <x v="0"/>
    <x v="0"/>
    <n v="1.49"/>
    <n v="25"/>
    <n v="4"/>
    <n v="84"/>
    <d v="2023-03-20T04:40:00"/>
    <d v="2023-03-20T05:05:00"/>
    <d v="2023-03-20T04:59:00"/>
    <d v="2023-03-20T05:24:00"/>
    <x v="1"/>
    <x v="1"/>
    <x v="0"/>
    <x v="0"/>
  </r>
  <r>
    <x v="1"/>
    <x v="4"/>
    <n v="4.32"/>
    <n v="75"/>
    <n v="14.44"/>
    <n v="81"/>
    <d v="2023-03-20T04:50:00"/>
    <d v="2023-03-20T06:05:00"/>
    <d v="2023-03-20T04:55:00"/>
    <d v="2023-03-20T06:10:00"/>
    <x v="0"/>
    <x v="0"/>
    <x v="0"/>
    <x v="0"/>
  </r>
  <r>
    <x v="0"/>
    <x v="0"/>
    <n v="1.78"/>
    <n v="21"/>
    <n v="7.47"/>
    <n v="83"/>
    <d v="2023-03-20T05:00:00"/>
    <d v="2023-03-20T05:21:00"/>
    <d v="2023-03-20T04:55:00"/>
    <d v="2023-03-20T05:16:00"/>
    <x v="0"/>
    <x v="1"/>
    <x v="0"/>
    <x v="0"/>
  </r>
  <r>
    <x v="1"/>
    <x v="2"/>
    <n v="3.17"/>
    <n v="55"/>
    <n v="13.68"/>
    <n v="84"/>
    <d v="2023-03-20T05:10:00"/>
    <d v="2023-03-20T06:05:00"/>
    <d v="2023-03-20T05:06:00"/>
    <d v="2023-03-20T06:01:00"/>
    <x v="0"/>
    <x v="1"/>
    <x v="0"/>
    <x v="0"/>
  </r>
  <r>
    <x v="0"/>
    <x v="3"/>
    <n v="3.08"/>
    <n v="78"/>
    <n v="5.42"/>
    <n v="82"/>
    <d v="2023-03-20T05:20:00"/>
    <d v="2023-03-20T06:38:00"/>
    <d v="2023-03-20T05:46:00"/>
    <d v="2023-03-20T07:04:00"/>
    <x v="1"/>
    <x v="1"/>
    <x v="0"/>
    <x v="0"/>
  </r>
  <r>
    <x v="3"/>
    <x v="2"/>
    <n v="2.17"/>
    <n v="20"/>
    <n v="4.29"/>
    <n v="97"/>
    <d v="2023-03-20T05:30:00"/>
    <d v="2023-03-20T05:50:00"/>
    <d v="2023-03-20T05:29:00"/>
    <d v="2023-03-20T05:49:00"/>
    <x v="0"/>
    <x v="1"/>
    <x v="0"/>
    <x v="0"/>
  </r>
  <r>
    <x v="4"/>
    <x v="1"/>
    <n v="3.21"/>
    <n v="94"/>
    <n v="14.67"/>
    <n v="93"/>
    <d v="2023-03-20T05:40:00"/>
    <d v="2023-03-20T07:14:00"/>
    <d v="2023-03-20T05:44:00"/>
    <d v="2023-03-20T07:18:00"/>
    <x v="0"/>
    <x v="0"/>
    <x v="0"/>
    <x v="0"/>
  </r>
  <r>
    <x v="2"/>
    <x v="3"/>
    <n v="2.96"/>
    <n v="78"/>
    <n v="4.2300000000000004"/>
    <n v="95"/>
    <d v="2023-03-20T05:50:00"/>
    <d v="2023-03-20T07:08:00"/>
    <m/>
    <m/>
    <x v="2"/>
    <x v="1"/>
    <x v="1"/>
    <x v="1"/>
  </r>
  <r>
    <x v="0"/>
    <x v="2"/>
    <n v="2"/>
    <n v="76"/>
    <n v="12.37"/>
    <n v="88"/>
    <d v="2023-03-20T06:00:00"/>
    <d v="2023-03-20T07:16:00"/>
    <d v="2023-03-20T06:02:00"/>
    <d v="2023-03-20T07:18:00"/>
    <x v="0"/>
    <x v="0"/>
    <x v="0"/>
    <x v="0"/>
  </r>
  <r>
    <x v="4"/>
    <x v="1"/>
    <n v="2.08"/>
    <n v="58"/>
    <n v="14.2"/>
    <n v="91"/>
    <d v="2023-03-20T06:10:00"/>
    <d v="2023-03-20T07:08:00"/>
    <d v="2023-03-20T06:10:00"/>
    <d v="2023-03-20T07:08:00"/>
    <x v="0"/>
    <x v="0"/>
    <x v="0"/>
    <x v="0"/>
  </r>
  <r>
    <x v="1"/>
    <x v="3"/>
    <n v="2.15"/>
    <n v="64"/>
    <n v="2.4500000000000002"/>
    <n v="81"/>
    <d v="2023-03-20T06:20:00"/>
    <d v="2023-03-20T07:24:00"/>
    <d v="2023-03-20T06:22:00"/>
    <d v="2023-03-20T07:26:00"/>
    <x v="0"/>
    <x v="2"/>
    <x v="0"/>
    <x v="0"/>
  </r>
  <r>
    <x v="3"/>
    <x v="4"/>
    <n v="2.62"/>
    <n v="66"/>
    <n v="9.66"/>
    <n v="89"/>
    <d v="2023-03-20T06:30:00"/>
    <d v="2023-03-20T07:36:00"/>
    <d v="2023-03-20T06:27:00"/>
    <d v="2023-03-20T07:33:00"/>
    <x v="0"/>
    <x v="1"/>
    <x v="0"/>
    <x v="0"/>
  </r>
  <r>
    <x v="4"/>
    <x v="2"/>
    <n v="4.82"/>
    <n v="59"/>
    <n v="8.66"/>
    <n v="95"/>
    <d v="2023-03-20T06:40:00"/>
    <d v="2023-03-20T07:39:00"/>
    <d v="2023-03-20T06:41:00"/>
    <d v="2023-03-20T07:40:00"/>
    <x v="0"/>
    <x v="2"/>
    <x v="0"/>
    <x v="0"/>
  </r>
  <r>
    <x v="4"/>
    <x v="2"/>
    <n v="3.17"/>
    <n v="30"/>
    <n v="10.210000000000001"/>
    <n v="88"/>
    <d v="2023-03-20T06:50:00"/>
    <d v="2023-03-20T07:20:00"/>
    <d v="2023-03-20T06:52:00"/>
    <d v="2023-03-20T07:22:00"/>
    <x v="0"/>
    <x v="0"/>
    <x v="0"/>
    <x v="0"/>
  </r>
  <r>
    <x v="0"/>
    <x v="1"/>
    <n v="1.52"/>
    <n v="37"/>
    <n v="9.4700000000000006"/>
    <n v="96"/>
    <d v="2023-03-20T07:00:00"/>
    <d v="2023-03-20T07:37:00"/>
    <d v="2023-03-20T06:57:00"/>
    <d v="2023-03-20T07:34:00"/>
    <x v="0"/>
    <x v="1"/>
    <x v="0"/>
    <x v="0"/>
  </r>
  <r>
    <x v="2"/>
    <x v="0"/>
    <n v="3.32"/>
    <n v="71"/>
    <n v="13.8"/>
    <n v="80"/>
    <d v="2023-03-20T07:10:00"/>
    <d v="2023-03-20T08:21:00"/>
    <d v="2023-03-20T07:20:00"/>
    <d v="2023-03-20T08:31:00"/>
    <x v="1"/>
    <x v="1"/>
    <x v="0"/>
    <x v="0"/>
  </r>
  <r>
    <x v="0"/>
    <x v="1"/>
    <n v="3.25"/>
    <n v="106"/>
    <n v="13.31"/>
    <n v="86"/>
    <d v="2023-03-20T07:20:00"/>
    <d v="2023-03-20T09:06:00"/>
    <d v="2023-03-20T07:22:00"/>
    <d v="2023-03-20T09:08:00"/>
    <x v="0"/>
    <x v="0"/>
    <x v="0"/>
    <x v="0"/>
  </r>
  <r>
    <x v="1"/>
    <x v="1"/>
    <n v="3.22"/>
    <n v="107"/>
    <n v="6.69"/>
    <n v="91"/>
    <d v="2023-03-20T07:30:00"/>
    <d v="2023-03-20T09:17:00"/>
    <d v="2023-03-20T07:31:00"/>
    <d v="2023-03-20T09:18:00"/>
    <x v="0"/>
    <x v="2"/>
    <x v="0"/>
    <x v="0"/>
  </r>
  <r>
    <x v="2"/>
    <x v="2"/>
    <n v="3.31"/>
    <n v="95"/>
    <n v="5.56"/>
    <n v="85"/>
    <d v="2023-03-20T07:40:00"/>
    <d v="2023-03-20T09:15:00"/>
    <d v="2023-03-20T07:45:00"/>
    <d v="2023-03-20T09:20:00"/>
    <x v="0"/>
    <x v="2"/>
    <x v="0"/>
    <x v="0"/>
  </r>
  <r>
    <x v="2"/>
    <x v="1"/>
    <n v="2.97"/>
    <n v="36"/>
    <n v="6.56"/>
    <n v="82"/>
    <d v="2023-03-20T07:50:00"/>
    <d v="2023-03-20T08:26:00"/>
    <d v="2023-03-20T07:55:00"/>
    <d v="2023-03-20T08:31:00"/>
    <x v="0"/>
    <x v="2"/>
    <x v="0"/>
    <x v="0"/>
  </r>
  <r>
    <x v="2"/>
    <x v="0"/>
    <n v="1.49"/>
    <n v="97"/>
    <n v="5.47"/>
    <n v="81"/>
    <d v="2023-03-20T08:00:00"/>
    <d v="2023-03-20T09:37:00"/>
    <d v="2023-03-20T07:58:00"/>
    <d v="2023-03-20T09:35:00"/>
    <x v="0"/>
    <x v="1"/>
    <x v="0"/>
    <x v="0"/>
  </r>
  <r>
    <x v="3"/>
    <x v="0"/>
    <n v="3.82"/>
    <n v="81"/>
    <n v="10.72"/>
    <n v="99"/>
    <d v="2023-03-20T08:10:00"/>
    <d v="2023-03-20T09:31:00"/>
    <d v="2023-03-20T08:12:00"/>
    <d v="2023-03-20T09:33:00"/>
    <x v="0"/>
    <x v="0"/>
    <x v="0"/>
    <x v="0"/>
  </r>
  <r>
    <x v="4"/>
    <x v="3"/>
    <n v="5"/>
    <n v="26"/>
    <n v="12.76"/>
    <n v="95"/>
    <d v="2023-03-20T08:20:00"/>
    <d v="2023-03-20T08:46:00"/>
    <d v="2023-03-20T08:20:00"/>
    <d v="2023-03-20T08:46:00"/>
    <x v="0"/>
    <x v="0"/>
    <x v="0"/>
    <x v="0"/>
  </r>
  <r>
    <x v="1"/>
    <x v="1"/>
    <n v="2.41"/>
    <n v="93"/>
    <n v="9.8000000000000007"/>
    <n v="91"/>
    <d v="2023-03-20T08:30:00"/>
    <d v="2023-03-20T10:03:00"/>
    <d v="2023-03-20T08:34:00"/>
    <d v="2023-03-20T10:07:00"/>
    <x v="0"/>
    <x v="0"/>
    <x v="0"/>
    <x v="0"/>
  </r>
  <r>
    <x v="1"/>
    <x v="4"/>
    <n v="1.8"/>
    <n v="103"/>
    <n v="13.09"/>
    <n v="82"/>
    <d v="2023-03-20T08:40:00"/>
    <d v="2023-03-20T10:23:00"/>
    <d v="2023-03-20T08:36:00"/>
    <d v="2023-03-20T10:19:00"/>
    <x v="0"/>
    <x v="1"/>
    <x v="0"/>
    <x v="0"/>
  </r>
  <r>
    <x v="4"/>
    <x v="4"/>
    <n v="4.2699999999999996"/>
    <n v="90"/>
    <n v="6.74"/>
    <n v="87"/>
    <d v="2023-03-20T08:50:00"/>
    <d v="2023-03-20T10:20:00"/>
    <d v="2023-03-20T08:49:00"/>
    <d v="2023-03-20T10:19:00"/>
    <x v="0"/>
    <x v="1"/>
    <x v="0"/>
    <x v="0"/>
  </r>
  <r>
    <x v="2"/>
    <x v="1"/>
    <n v="2.46"/>
    <n v="39"/>
    <n v="10.97"/>
    <n v="96"/>
    <d v="2023-03-20T09:00:00"/>
    <d v="2023-03-20T09:39:00"/>
    <d v="2023-03-20T09:04:00"/>
    <d v="2023-03-20T09:43:00"/>
    <x v="0"/>
    <x v="0"/>
    <x v="0"/>
    <x v="0"/>
  </r>
  <r>
    <x v="4"/>
    <x v="1"/>
    <n v="2.96"/>
    <n v="76"/>
    <n v="13.25"/>
    <n v="88"/>
    <d v="2023-03-20T09:10:00"/>
    <d v="2023-03-20T10:26:00"/>
    <m/>
    <m/>
    <x v="2"/>
    <x v="1"/>
    <x v="1"/>
    <x v="1"/>
  </r>
  <r>
    <x v="0"/>
    <x v="0"/>
    <n v="2.14"/>
    <n v="79"/>
    <n v="2.0499999999999998"/>
    <n v="80"/>
    <d v="2023-03-20T09:20:00"/>
    <d v="2023-03-20T10:39:00"/>
    <d v="2023-03-20T09:47:00"/>
    <d v="2023-03-20T11:06:00"/>
    <x v="1"/>
    <x v="1"/>
    <x v="0"/>
    <x v="0"/>
  </r>
  <r>
    <x v="1"/>
    <x v="1"/>
    <n v="2.19"/>
    <n v="116"/>
    <n v="4.79"/>
    <n v="95"/>
    <d v="2023-03-20T09:30:00"/>
    <d v="2023-03-20T11:26:00"/>
    <d v="2023-03-20T09:29:00"/>
    <d v="2023-03-20T11:25:00"/>
    <x v="0"/>
    <x v="1"/>
    <x v="0"/>
    <x v="0"/>
  </r>
  <r>
    <x v="1"/>
    <x v="4"/>
    <n v="1.42"/>
    <n v="23"/>
    <n v="3.92"/>
    <n v="88"/>
    <d v="2023-03-20T09:40:00"/>
    <d v="2023-03-20T10:03:00"/>
    <d v="2023-03-20T10:02:00"/>
    <d v="2023-03-20T10:25:00"/>
    <x v="1"/>
    <x v="1"/>
    <x v="0"/>
    <x v="0"/>
  </r>
  <r>
    <x v="1"/>
    <x v="1"/>
    <n v="3.42"/>
    <n v="20"/>
    <n v="6.24"/>
    <n v="92"/>
    <d v="2023-03-20T09:50:00"/>
    <d v="2023-03-20T10:10:00"/>
    <d v="2023-03-20T09:51:00"/>
    <d v="2023-03-20T10:11:00"/>
    <x v="0"/>
    <x v="2"/>
    <x v="0"/>
    <x v="0"/>
  </r>
  <r>
    <x v="2"/>
    <x v="4"/>
    <n v="3.16"/>
    <n v="87"/>
    <n v="5.09"/>
    <n v="92"/>
    <d v="2023-03-20T10:00:00"/>
    <d v="2023-03-20T11:27:00"/>
    <d v="2023-03-20T10:03:00"/>
    <d v="2023-03-20T11:30:00"/>
    <x v="0"/>
    <x v="2"/>
    <x v="0"/>
    <x v="0"/>
  </r>
  <r>
    <x v="1"/>
    <x v="4"/>
    <n v="2.25"/>
    <n v="52"/>
    <n v="14.65"/>
    <n v="98"/>
    <d v="2023-03-20T10:10:00"/>
    <d v="2023-03-20T11:02:00"/>
    <d v="2023-03-20T10:32:00"/>
    <d v="2023-03-20T11:24:00"/>
    <x v="1"/>
    <x v="1"/>
    <x v="0"/>
    <x v="0"/>
  </r>
  <r>
    <x v="3"/>
    <x v="1"/>
    <n v="1.5"/>
    <n v="38"/>
    <n v="6.46"/>
    <n v="96"/>
    <d v="2023-03-20T10:20:00"/>
    <d v="2023-03-20T10:58:00"/>
    <d v="2023-03-20T10:18:00"/>
    <d v="2023-03-20T10:56:00"/>
    <x v="0"/>
    <x v="1"/>
    <x v="0"/>
    <x v="0"/>
  </r>
  <r>
    <x v="4"/>
    <x v="4"/>
    <n v="1.07"/>
    <n v="75"/>
    <n v="6.02"/>
    <n v="99"/>
    <d v="2023-03-20T10:30:00"/>
    <d v="2023-03-20T11:45:00"/>
    <d v="2023-03-20T10:25:00"/>
    <d v="2023-03-20T11:40:00"/>
    <x v="0"/>
    <x v="1"/>
    <x v="0"/>
    <x v="0"/>
  </r>
  <r>
    <x v="3"/>
    <x v="1"/>
    <n v="4.33"/>
    <n v="89"/>
    <n v="12.46"/>
    <n v="81"/>
    <d v="2023-03-20T10:40:00"/>
    <d v="2023-03-20T12:09:00"/>
    <d v="2023-03-20T10:40:00"/>
    <d v="2023-03-20T12:09:00"/>
    <x v="0"/>
    <x v="0"/>
    <x v="0"/>
    <x v="0"/>
  </r>
  <r>
    <x v="4"/>
    <x v="2"/>
    <n v="2.92"/>
    <n v="77"/>
    <n v="9.4600000000000009"/>
    <n v="99"/>
    <d v="2023-03-20T10:50:00"/>
    <d v="2023-03-20T12:07:00"/>
    <d v="2023-03-20T10:47:00"/>
    <d v="2023-03-20T12:04:00"/>
    <x v="0"/>
    <x v="1"/>
    <x v="0"/>
    <x v="0"/>
  </r>
  <r>
    <x v="2"/>
    <x v="2"/>
    <n v="3.25"/>
    <n v="89"/>
    <n v="6.97"/>
    <n v="98"/>
    <d v="2023-03-20T11:00:00"/>
    <d v="2023-03-20T12:29:00"/>
    <d v="2023-03-20T11:21:00"/>
    <d v="2023-03-20T12:50:00"/>
    <x v="1"/>
    <x v="1"/>
    <x v="0"/>
    <x v="0"/>
  </r>
  <r>
    <x v="0"/>
    <x v="1"/>
    <n v="1.25"/>
    <n v="50"/>
    <n v="3.41"/>
    <n v="80"/>
    <d v="2023-03-20T11:10:00"/>
    <d v="2023-03-20T12:00:00"/>
    <d v="2023-03-20T11:10:00"/>
    <d v="2023-03-20T12:00:00"/>
    <x v="0"/>
    <x v="2"/>
    <x v="0"/>
    <x v="0"/>
  </r>
  <r>
    <x v="4"/>
    <x v="1"/>
    <n v="3.07"/>
    <n v="71"/>
    <n v="11.53"/>
    <n v="82"/>
    <d v="2023-03-20T11:20:00"/>
    <d v="2023-03-20T12:31:00"/>
    <d v="2023-03-20T11:31:00"/>
    <d v="2023-03-20T12:42:00"/>
    <x v="1"/>
    <x v="1"/>
    <x v="0"/>
    <x v="0"/>
  </r>
  <r>
    <x v="1"/>
    <x v="0"/>
    <n v="2.35"/>
    <n v="50"/>
    <n v="8.24"/>
    <n v="94"/>
    <d v="2023-03-20T11:30:00"/>
    <d v="2023-03-20T12:20:00"/>
    <d v="2023-03-20T11:29:00"/>
    <d v="2023-03-20T12:19:00"/>
    <x v="0"/>
    <x v="1"/>
    <x v="0"/>
    <x v="0"/>
  </r>
  <r>
    <x v="2"/>
    <x v="3"/>
    <n v="3.76"/>
    <n v="85"/>
    <n v="13.06"/>
    <n v="87"/>
    <d v="2023-03-20T11:40:00"/>
    <d v="2023-03-20T13:05:00"/>
    <m/>
    <m/>
    <x v="2"/>
    <x v="1"/>
    <x v="1"/>
    <x v="1"/>
  </r>
  <r>
    <x v="1"/>
    <x v="4"/>
    <n v="2.86"/>
    <n v="95"/>
    <n v="6.84"/>
    <n v="97"/>
    <d v="2023-03-20T11:50:00"/>
    <d v="2023-03-20T13:25:00"/>
    <m/>
    <m/>
    <x v="2"/>
    <x v="1"/>
    <x v="1"/>
    <x v="1"/>
  </r>
  <r>
    <x v="3"/>
    <x v="3"/>
    <n v="2.52"/>
    <n v="59"/>
    <n v="4.6500000000000004"/>
    <n v="94"/>
    <d v="2023-03-20T12:00:00"/>
    <d v="2023-03-20T12:59:00"/>
    <m/>
    <m/>
    <x v="2"/>
    <x v="1"/>
    <x v="1"/>
    <x v="1"/>
  </r>
  <r>
    <x v="3"/>
    <x v="0"/>
    <n v="4.3899999999999997"/>
    <n v="113"/>
    <n v="10.52"/>
    <n v="80"/>
    <d v="2023-03-20T12:10:00"/>
    <d v="2023-03-20T14:03:00"/>
    <d v="2023-03-20T12:13:00"/>
    <d v="2023-03-20T14:06:00"/>
    <x v="0"/>
    <x v="0"/>
    <x v="0"/>
    <x v="0"/>
  </r>
  <r>
    <x v="3"/>
    <x v="0"/>
    <n v="4.4000000000000004"/>
    <n v="51"/>
    <n v="4.67"/>
    <n v="91"/>
    <d v="2023-03-20T12:20:00"/>
    <d v="2023-03-20T13:11:00"/>
    <d v="2023-03-20T12:20:00"/>
    <d v="2023-03-20T13:11:00"/>
    <x v="0"/>
    <x v="2"/>
    <x v="0"/>
    <x v="0"/>
  </r>
  <r>
    <x v="2"/>
    <x v="3"/>
    <n v="3.4"/>
    <n v="105"/>
    <n v="14.25"/>
    <n v="87"/>
    <d v="2023-03-20T12:30:00"/>
    <d v="2023-03-20T14:15:00"/>
    <d v="2023-03-20T12:32:00"/>
    <d v="2023-03-20T14:17:00"/>
    <x v="0"/>
    <x v="0"/>
    <x v="0"/>
    <x v="0"/>
  </r>
  <r>
    <x v="3"/>
    <x v="1"/>
    <n v="4.7699999999999996"/>
    <n v="70"/>
    <n v="4.67"/>
    <n v="88"/>
    <d v="2023-03-20T12:40:00"/>
    <d v="2023-03-20T13:50:00"/>
    <d v="2023-03-20T12:39:00"/>
    <d v="2023-03-20T13:49:00"/>
    <x v="0"/>
    <x v="1"/>
    <x v="0"/>
    <x v="0"/>
  </r>
  <r>
    <x v="2"/>
    <x v="4"/>
    <n v="3.6"/>
    <n v="87"/>
    <n v="10.220000000000001"/>
    <n v="95"/>
    <d v="2023-03-20T12:50:00"/>
    <d v="2023-03-20T14:17:00"/>
    <d v="2023-03-20T12:48:00"/>
    <d v="2023-03-20T14:15:00"/>
    <x v="0"/>
    <x v="1"/>
    <x v="0"/>
    <x v="0"/>
  </r>
  <r>
    <x v="4"/>
    <x v="3"/>
    <n v="3.45"/>
    <n v="23"/>
    <n v="10.48"/>
    <n v="80"/>
    <d v="2023-03-20T13:00:00"/>
    <d v="2023-03-20T13:23:00"/>
    <d v="2023-03-20T12:58:00"/>
    <d v="2023-03-20T13:21:00"/>
    <x v="0"/>
    <x v="1"/>
    <x v="0"/>
    <x v="0"/>
  </r>
  <r>
    <x v="1"/>
    <x v="0"/>
    <n v="2.91"/>
    <n v="39"/>
    <n v="2.7"/>
    <n v="92"/>
    <d v="2023-03-20T13:10:00"/>
    <d v="2023-03-20T13:49:00"/>
    <d v="2023-03-20T13:14:00"/>
    <d v="2023-03-20T13:53:00"/>
    <x v="0"/>
    <x v="2"/>
    <x v="0"/>
    <x v="0"/>
  </r>
  <r>
    <x v="0"/>
    <x v="1"/>
    <n v="4.49"/>
    <n v="70"/>
    <n v="10.34"/>
    <n v="93"/>
    <d v="2023-03-20T13:20:00"/>
    <d v="2023-03-20T14:30:00"/>
    <d v="2023-03-20T13:37:00"/>
    <d v="2023-03-20T14:47:00"/>
    <x v="1"/>
    <x v="1"/>
    <x v="0"/>
    <x v="0"/>
  </r>
  <r>
    <x v="4"/>
    <x v="2"/>
    <n v="3.62"/>
    <n v="80"/>
    <n v="10.42"/>
    <n v="88"/>
    <d v="2023-03-20T13:30:00"/>
    <d v="2023-03-20T14:50:00"/>
    <d v="2023-03-20T13:25:00"/>
    <d v="2023-03-20T14:45:00"/>
    <x v="0"/>
    <x v="1"/>
    <x v="0"/>
    <x v="0"/>
  </r>
  <r>
    <x v="0"/>
    <x v="0"/>
    <n v="2.23"/>
    <n v="90"/>
    <n v="5.88"/>
    <n v="95"/>
    <d v="2023-03-20T13:40:00"/>
    <d v="2023-03-20T15:10:00"/>
    <d v="2023-03-20T13:43:00"/>
    <d v="2023-03-20T15:13:00"/>
    <x v="0"/>
    <x v="2"/>
    <x v="0"/>
    <x v="0"/>
  </r>
  <r>
    <x v="3"/>
    <x v="2"/>
    <n v="3.12"/>
    <n v="21"/>
    <n v="11.65"/>
    <n v="92"/>
    <d v="2023-03-20T13:50:00"/>
    <d v="2023-03-20T14:11:00"/>
    <d v="2023-03-20T14:05:00"/>
    <d v="2023-03-20T14:26:00"/>
    <x v="1"/>
    <x v="1"/>
    <x v="0"/>
    <x v="0"/>
  </r>
  <r>
    <x v="4"/>
    <x v="0"/>
    <n v="3.95"/>
    <n v="112"/>
    <n v="4.8499999999999996"/>
    <n v="87"/>
    <d v="2023-03-20T14:00:00"/>
    <d v="2023-03-20T15:52:00"/>
    <m/>
    <m/>
    <x v="2"/>
    <x v="1"/>
    <x v="1"/>
    <x v="1"/>
  </r>
  <r>
    <x v="0"/>
    <x v="1"/>
    <n v="3.87"/>
    <n v="60"/>
    <n v="4.74"/>
    <n v="94"/>
    <d v="2023-03-20T14:10:00"/>
    <d v="2023-03-20T15:10:00"/>
    <d v="2023-03-20T14:14:00"/>
    <d v="2023-03-20T15:14:00"/>
    <x v="0"/>
    <x v="2"/>
    <x v="0"/>
    <x v="0"/>
  </r>
  <r>
    <x v="1"/>
    <x v="0"/>
    <n v="2.87"/>
    <n v="73"/>
    <n v="11.29"/>
    <n v="94"/>
    <d v="2023-03-20T14:20:00"/>
    <d v="2023-03-20T15:33:00"/>
    <d v="2023-03-20T14:20:00"/>
    <d v="2023-03-20T15:33:00"/>
    <x v="0"/>
    <x v="0"/>
    <x v="0"/>
    <x v="0"/>
  </r>
  <r>
    <x v="3"/>
    <x v="3"/>
    <n v="2.2999999999999998"/>
    <n v="57"/>
    <n v="13.77"/>
    <n v="81"/>
    <d v="2023-03-20T14:30:00"/>
    <d v="2023-03-20T15:27:00"/>
    <d v="2023-03-20T14:35:00"/>
    <d v="2023-03-20T15:32:00"/>
    <x v="0"/>
    <x v="0"/>
    <x v="0"/>
    <x v="0"/>
  </r>
  <r>
    <x v="3"/>
    <x v="1"/>
    <n v="4.25"/>
    <n v="74"/>
    <n v="2.64"/>
    <n v="90"/>
    <d v="2023-03-20T14:40:00"/>
    <d v="2023-03-20T15:54:00"/>
    <d v="2023-03-20T14:52:00"/>
    <d v="2023-03-20T16:06:00"/>
    <x v="1"/>
    <x v="1"/>
    <x v="0"/>
    <x v="0"/>
  </r>
  <r>
    <x v="0"/>
    <x v="1"/>
    <n v="4.1399999999999997"/>
    <n v="54"/>
    <n v="8.66"/>
    <n v="86"/>
    <d v="2023-03-20T14:50:00"/>
    <d v="2023-03-20T15:44:00"/>
    <d v="2023-03-20T14:49:00"/>
    <d v="2023-03-20T15:43:00"/>
    <x v="0"/>
    <x v="1"/>
    <x v="0"/>
    <x v="0"/>
  </r>
  <r>
    <x v="1"/>
    <x v="1"/>
    <n v="4.45"/>
    <n v="27"/>
    <n v="5.78"/>
    <n v="97"/>
    <d v="2023-03-20T15:00:00"/>
    <d v="2023-03-20T15:27:00"/>
    <d v="2023-03-20T14:55:00"/>
    <d v="2023-03-20T15:22:00"/>
    <x v="0"/>
    <x v="1"/>
    <x v="0"/>
    <x v="0"/>
  </r>
  <r>
    <x v="3"/>
    <x v="0"/>
    <n v="1.19"/>
    <n v="114"/>
    <n v="9.52"/>
    <n v="81"/>
    <d v="2023-03-20T15:10:00"/>
    <d v="2023-03-20T17:04:00"/>
    <d v="2023-03-20T15:06:00"/>
    <d v="2023-03-20T17:00:00"/>
    <x v="0"/>
    <x v="1"/>
    <x v="0"/>
    <x v="0"/>
  </r>
  <r>
    <x v="2"/>
    <x v="2"/>
    <n v="1.1499999999999999"/>
    <n v="61"/>
    <n v="11.45"/>
    <n v="85"/>
    <d v="2023-03-20T15:20:00"/>
    <d v="2023-03-20T16:21:00"/>
    <d v="2023-03-20T15:32:00"/>
    <d v="2023-03-20T16:33:00"/>
    <x v="1"/>
    <x v="1"/>
    <x v="0"/>
    <x v="0"/>
  </r>
  <r>
    <x v="1"/>
    <x v="3"/>
    <n v="2.7"/>
    <n v="67"/>
    <n v="5.28"/>
    <n v="84"/>
    <d v="2023-03-20T15:30:00"/>
    <d v="2023-03-20T16:37:00"/>
    <m/>
    <m/>
    <x v="2"/>
    <x v="1"/>
    <x v="1"/>
    <x v="1"/>
  </r>
  <r>
    <x v="3"/>
    <x v="1"/>
    <n v="2.63"/>
    <n v="59"/>
    <n v="13.01"/>
    <n v="85"/>
    <d v="2023-03-20T15:40:00"/>
    <d v="2023-03-20T16:39:00"/>
    <d v="2023-03-20T15:44:00"/>
    <d v="2023-03-20T16:43:00"/>
    <x v="0"/>
    <x v="0"/>
    <x v="0"/>
    <x v="0"/>
  </r>
  <r>
    <x v="3"/>
    <x v="0"/>
    <n v="4.6900000000000004"/>
    <n v="25"/>
    <n v="10.4"/>
    <n v="87"/>
    <d v="2023-03-20T15:50:00"/>
    <d v="2023-03-20T16:15:00"/>
    <d v="2023-03-20T15:48:00"/>
    <d v="2023-03-20T16:13:00"/>
    <x v="0"/>
    <x v="1"/>
    <x v="0"/>
    <x v="0"/>
  </r>
  <r>
    <x v="2"/>
    <x v="2"/>
    <n v="2.15"/>
    <n v="78"/>
    <n v="13.17"/>
    <n v="97"/>
    <d v="2023-03-20T16:00:00"/>
    <d v="2023-03-20T17:18:00"/>
    <d v="2023-03-20T16:16:00"/>
    <d v="2023-03-20T17:34:00"/>
    <x v="1"/>
    <x v="1"/>
    <x v="0"/>
    <x v="0"/>
  </r>
  <r>
    <x v="0"/>
    <x v="1"/>
    <n v="2.04"/>
    <n v="71"/>
    <n v="13.97"/>
    <n v="93"/>
    <d v="2023-03-20T16:10:00"/>
    <d v="2023-03-20T17:21:00"/>
    <d v="2023-03-20T16:05:00"/>
    <d v="2023-03-20T17:16:00"/>
    <x v="0"/>
    <x v="1"/>
    <x v="0"/>
    <x v="0"/>
  </r>
  <r>
    <x v="4"/>
    <x v="2"/>
    <n v="1.8"/>
    <n v="74"/>
    <n v="11.52"/>
    <n v="94"/>
    <d v="2023-03-20T16:20:00"/>
    <d v="2023-03-20T17:34:00"/>
    <d v="2023-03-20T16:25:00"/>
    <d v="2023-03-20T17:39:00"/>
    <x v="0"/>
    <x v="0"/>
    <x v="0"/>
    <x v="0"/>
  </r>
  <r>
    <x v="3"/>
    <x v="4"/>
    <n v="2.2000000000000002"/>
    <n v="58"/>
    <n v="6.8"/>
    <n v="92"/>
    <d v="2023-03-20T16:30:00"/>
    <d v="2023-03-20T17:28:00"/>
    <d v="2023-03-20T16:55:00"/>
    <d v="2023-03-20T17:53:00"/>
    <x v="1"/>
    <x v="1"/>
    <x v="0"/>
    <x v="0"/>
  </r>
  <r>
    <x v="4"/>
    <x v="0"/>
    <n v="1.18"/>
    <n v="96"/>
    <n v="13.66"/>
    <n v="91"/>
    <d v="2023-03-20T16:40:00"/>
    <d v="2023-03-20T18:16:00"/>
    <m/>
    <m/>
    <x v="2"/>
    <x v="1"/>
    <x v="1"/>
    <x v="1"/>
  </r>
  <r>
    <x v="1"/>
    <x v="0"/>
    <n v="1.92"/>
    <n v="118"/>
    <n v="5"/>
    <n v="98"/>
    <d v="2023-03-20T16:50:00"/>
    <d v="2023-03-20T18:48:00"/>
    <m/>
    <m/>
    <x v="2"/>
    <x v="1"/>
    <x v="1"/>
    <x v="1"/>
  </r>
  <r>
    <x v="2"/>
    <x v="0"/>
    <n v="4.88"/>
    <n v="100"/>
    <n v="10.38"/>
    <n v="90"/>
    <d v="2023-03-20T17:00:00"/>
    <d v="2023-03-20T18:40:00"/>
    <d v="2023-03-20T16:56:00"/>
    <d v="2023-03-20T18:36:00"/>
    <x v="0"/>
    <x v="1"/>
    <x v="0"/>
    <x v="0"/>
  </r>
  <r>
    <x v="0"/>
    <x v="2"/>
    <n v="3.32"/>
    <n v="94"/>
    <n v="14.98"/>
    <n v="86"/>
    <d v="2023-03-20T17:10:00"/>
    <d v="2023-03-20T18:44:00"/>
    <d v="2023-03-20T17:15:00"/>
    <d v="2023-03-20T18:49:00"/>
    <x v="0"/>
    <x v="0"/>
    <x v="0"/>
    <x v="0"/>
  </r>
  <r>
    <x v="3"/>
    <x v="2"/>
    <n v="3.07"/>
    <n v="37"/>
    <n v="6.03"/>
    <n v="85"/>
    <d v="2023-03-20T17:20:00"/>
    <d v="2023-03-20T17:57:00"/>
    <m/>
    <m/>
    <x v="2"/>
    <x v="1"/>
    <x v="1"/>
    <x v="1"/>
  </r>
  <r>
    <x v="1"/>
    <x v="4"/>
    <n v="3.59"/>
    <n v="29"/>
    <n v="13.78"/>
    <n v="80"/>
    <d v="2023-03-20T17:30:00"/>
    <d v="2023-03-20T17:59:00"/>
    <d v="2023-03-20T17:29:00"/>
    <d v="2023-03-20T17:58:00"/>
    <x v="0"/>
    <x v="1"/>
    <x v="0"/>
    <x v="0"/>
  </r>
  <r>
    <x v="0"/>
    <x v="2"/>
    <n v="4.0199999999999996"/>
    <n v="73"/>
    <n v="14.45"/>
    <n v="96"/>
    <d v="2023-03-20T17:40:00"/>
    <d v="2023-03-20T18:53:00"/>
    <d v="2023-03-20T17:37:00"/>
    <d v="2023-03-20T18:50:00"/>
    <x v="0"/>
    <x v="1"/>
    <x v="0"/>
    <x v="0"/>
  </r>
  <r>
    <x v="2"/>
    <x v="4"/>
    <n v="1.74"/>
    <n v="92"/>
    <n v="8.7899999999999991"/>
    <n v="91"/>
    <d v="2023-03-20T17:50:00"/>
    <d v="2023-03-20T19:22:00"/>
    <d v="2023-03-20T17:51:00"/>
    <d v="2023-03-20T19:23:00"/>
    <x v="0"/>
    <x v="2"/>
    <x v="0"/>
    <x v="0"/>
  </r>
  <r>
    <x v="1"/>
    <x v="0"/>
    <n v="3.27"/>
    <n v="86"/>
    <n v="10.39"/>
    <n v="96"/>
    <d v="2023-03-20T18:00:00"/>
    <d v="2023-03-20T19:26:00"/>
    <d v="2023-03-20T17:58:00"/>
    <d v="2023-03-20T19:24:00"/>
    <x v="0"/>
    <x v="1"/>
    <x v="0"/>
    <x v="0"/>
  </r>
  <r>
    <x v="4"/>
    <x v="1"/>
    <n v="2.11"/>
    <n v="77"/>
    <n v="10.81"/>
    <n v="95"/>
    <d v="2023-03-20T18:10:00"/>
    <d v="2023-03-20T19:27:00"/>
    <d v="2023-03-20T18:09:00"/>
    <d v="2023-03-20T19:26:00"/>
    <x v="0"/>
    <x v="1"/>
    <x v="0"/>
    <x v="0"/>
  </r>
  <r>
    <x v="1"/>
    <x v="1"/>
    <n v="2.12"/>
    <n v="51"/>
    <n v="9.83"/>
    <n v="87"/>
    <d v="2023-03-20T18:20:00"/>
    <d v="2023-03-20T19:11:00"/>
    <d v="2023-03-20T18:22:00"/>
    <d v="2023-03-20T19:13:00"/>
    <x v="0"/>
    <x v="0"/>
    <x v="0"/>
    <x v="0"/>
  </r>
  <r>
    <x v="0"/>
    <x v="2"/>
    <n v="2.46"/>
    <n v="93"/>
    <n v="14.04"/>
    <n v="82"/>
    <d v="2023-03-20T18:30:00"/>
    <d v="2023-03-20T20:03:00"/>
    <d v="2023-03-20T18:33:00"/>
    <d v="2023-03-20T20:06:00"/>
    <x v="0"/>
    <x v="0"/>
    <x v="0"/>
    <x v="0"/>
  </r>
  <r>
    <x v="2"/>
    <x v="1"/>
    <n v="2.46"/>
    <n v="36"/>
    <n v="5.98"/>
    <n v="84"/>
    <d v="2023-03-20T18:40:00"/>
    <d v="2023-03-20T19:16:00"/>
    <d v="2023-03-20T18:43:00"/>
    <d v="2023-03-20T19:19:00"/>
    <x v="0"/>
    <x v="2"/>
    <x v="0"/>
    <x v="0"/>
  </r>
  <r>
    <x v="4"/>
    <x v="0"/>
    <n v="1.3"/>
    <n v="61"/>
    <n v="13.62"/>
    <n v="84"/>
    <d v="2023-03-20T18:50:00"/>
    <d v="2023-03-20T19:51:00"/>
    <d v="2023-03-20T18:55:00"/>
    <d v="2023-03-20T19:56:00"/>
    <x v="0"/>
    <x v="0"/>
    <x v="0"/>
    <x v="0"/>
  </r>
  <r>
    <x v="4"/>
    <x v="4"/>
    <n v="4.99"/>
    <n v="87"/>
    <n v="5.88"/>
    <n v="80"/>
    <d v="2023-03-20T19:00:00"/>
    <d v="2023-03-20T20:27:00"/>
    <d v="2023-03-20T18:57:00"/>
    <d v="2023-03-20T20:24:00"/>
    <x v="0"/>
    <x v="1"/>
    <x v="0"/>
    <x v="0"/>
  </r>
  <r>
    <x v="0"/>
    <x v="2"/>
    <n v="2.2200000000000002"/>
    <n v="101"/>
    <n v="10.119999999999999"/>
    <n v="85"/>
    <d v="2023-03-20T19:10:00"/>
    <d v="2023-03-20T20:51:00"/>
    <d v="2023-03-20T19:09:00"/>
    <d v="2023-03-20T20:50:00"/>
    <x v="0"/>
    <x v="1"/>
    <x v="0"/>
    <x v="0"/>
  </r>
  <r>
    <x v="3"/>
    <x v="1"/>
    <n v="2.75"/>
    <n v="116"/>
    <n v="11.31"/>
    <n v="99"/>
    <d v="2023-03-20T19:20:00"/>
    <d v="2023-03-20T21:16:00"/>
    <d v="2023-03-20T19:15:00"/>
    <d v="2023-03-20T21:11:00"/>
    <x v="0"/>
    <x v="1"/>
    <x v="0"/>
    <x v="0"/>
  </r>
  <r>
    <x v="0"/>
    <x v="0"/>
    <n v="4.12"/>
    <n v="66"/>
    <n v="8.7899999999999991"/>
    <n v="93"/>
    <d v="2023-03-20T19:30:00"/>
    <d v="2023-03-20T20:36:00"/>
    <m/>
    <m/>
    <x v="2"/>
    <x v="1"/>
    <x v="1"/>
    <x v="1"/>
  </r>
  <r>
    <x v="1"/>
    <x v="0"/>
    <n v="2.73"/>
    <n v="90"/>
    <n v="7.96"/>
    <n v="91"/>
    <d v="2023-03-20T19:40:00"/>
    <d v="2023-03-20T21:10:00"/>
    <d v="2023-03-20T19:38:00"/>
    <d v="2023-03-20T21:08:00"/>
    <x v="0"/>
    <x v="1"/>
    <x v="0"/>
    <x v="0"/>
  </r>
  <r>
    <x v="3"/>
    <x v="1"/>
    <n v="1.81"/>
    <n v="29"/>
    <n v="8"/>
    <n v="97"/>
    <d v="2023-03-20T19:50:00"/>
    <d v="2023-03-20T20:19:00"/>
    <d v="2023-03-20T19:55:00"/>
    <d v="2023-03-20T20:24:00"/>
    <x v="0"/>
    <x v="0"/>
    <x v="0"/>
    <x v="0"/>
  </r>
  <r>
    <x v="3"/>
    <x v="4"/>
    <n v="4.3099999999999996"/>
    <n v="83"/>
    <n v="4.43"/>
    <n v="85"/>
    <d v="2023-03-20T20:00:00"/>
    <d v="2023-03-20T21:23:00"/>
    <d v="2023-03-20T19:56:00"/>
    <d v="2023-03-20T21:19:00"/>
    <x v="0"/>
    <x v="1"/>
    <x v="0"/>
    <x v="0"/>
  </r>
  <r>
    <x v="2"/>
    <x v="4"/>
    <n v="1.25"/>
    <n v="50"/>
    <n v="12.64"/>
    <n v="83"/>
    <d v="2023-03-20T20:10:00"/>
    <d v="2023-03-20T21:00:00"/>
    <d v="2023-03-20T20:14:00"/>
    <d v="2023-03-20T21:04:00"/>
    <x v="0"/>
    <x v="0"/>
    <x v="0"/>
    <x v="0"/>
  </r>
  <r>
    <x v="1"/>
    <x v="3"/>
    <n v="4.13"/>
    <n v="118"/>
    <n v="3.21"/>
    <n v="85"/>
    <d v="2023-03-20T20:20:00"/>
    <d v="2023-03-20T22:18:00"/>
    <d v="2023-03-20T20:15:00"/>
    <d v="2023-03-20T22:13:00"/>
    <x v="0"/>
    <x v="1"/>
    <x v="0"/>
    <x v="0"/>
  </r>
  <r>
    <x v="3"/>
    <x v="1"/>
    <n v="2.57"/>
    <n v="115"/>
    <n v="6.41"/>
    <n v="81"/>
    <d v="2023-03-20T20:30:00"/>
    <d v="2023-03-20T22:25:00"/>
    <d v="2023-03-20T20:33:00"/>
    <d v="2023-03-20T22:28:00"/>
    <x v="0"/>
    <x v="2"/>
    <x v="0"/>
    <x v="0"/>
  </r>
  <r>
    <x v="3"/>
    <x v="1"/>
    <n v="4.3600000000000003"/>
    <n v="106"/>
    <n v="9.52"/>
    <n v="94"/>
    <d v="2023-03-20T20:40:00"/>
    <d v="2023-03-20T22:26:00"/>
    <d v="2023-03-20T20:37:00"/>
    <d v="2023-03-20T22:23:00"/>
    <x v="0"/>
    <x v="1"/>
    <x v="0"/>
    <x v="0"/>
  </r>
  <r>
    <x v="4"/>
    <x v="4"/>
    <n v="1.1499999999999999"/>
    <n v="47"/>
    <n v="12.4"/>
    <n v="92"/>
    <d v="2023-03-20T20:50:00"/>
    <d v="2023-03-20T21:37:00"/>
    <d v="2023-03-20T20:52:00"/>
    <d v="2023-03-20T21:39:00"/>
    <x v="0"/>
    <x v="0"/>
    <x v="0"/>
    <x v="0"/>
  </r>
  <r>
    <x v="3"/>
    <x v="4"/>
    <n v="3.64"/>
    <n v="38"/>
    <n v="12.38"/>
    <n v="93"/>
    <d v="2023-03-20T21:00:00"/>
    <d v="2023-03-20T21:38:00"/>
    <d v="2023-03-20T21:02:00"/>
    <d v="2023-03-20T21:40:00"/>
    <x v="0"/>
    <x v="0"/>
    <x v="0"/>
    <x v="0"/>
  </r>
  <r>
    <x v="4"/>
    <x v="0"/>
    <n v="3.79"/>
    <n v="63"/>
    <n v="8.9600000000000009"/>
    <n v="85"/>
    <d v="2023-03-20T21:10:00"/>
    <d v="2023-03-20T22:13:00"/>
    <d v="2023-03-20T21:15:00"/>
    <d v="2023-03-20T22:18:00"/>
    <x v="0"/>
    <x v="0"/>
    <x v="0"/>
    <x v="0"/>
  </r>
  <r>
    <x v="1"/>
    <x v="0"/>
    <n v="1.6"/>
    <n v="76"/>
    <n v="5.98"/>
    <n v="90"/>
    <d v="2023-03-20T21:20:00"/>
    <d v="2023-03-20T22:36:00"/>
    <d v="2023-03-20T21:15:00"/>
    <d v="2023-03-20T22:31:00"/>
    <x v="0"/>
    <x v="1"/>
    <x v="0"/>
    <x v="0"/>
  </r>
  <r>
    <x v="1"/>
    <x v="3"/>
    <n v="4.43"/>
    <n v="47"/>
    <n v="14.26"/>
    <n v="92"/>
    <d v="2023-03-20T21:30:00"/>
    <d v="2023-03-20T22:17:00"/>
    <m/>
    <m/>
    <x v="2"/>
    <x v="1"/>
    <x v="1"/>
    <x v="1"/>
  </r>
  <r>
    <x v="0"/>
    <x v="2"/>
    <n v="2.29"/>
    <n v="32"/>
    <n v="4.38"/>
    <n v="88"/>
    <d v="2023-03-20T21:40:00"/>
    <d v="2023-03-20T22:12:00"/>
    <d v="2023-03-20T21:39:00"/>
    <d v="2023-03-20T22:11:00"/>
    <x v="0"/>
    <x v="1"/>
    <x v="0"/>
    <x v="0"/>
  </r>
  <r>
    <x v="4"/>
    <x v="2"/>
    <n v="4.54"/>
    <n v="78"/>
    <n v="9.06"/>
    <n v="82"/>
    <d v="2023-03-20T21:50:00"/>
    <d v="2023-03-20T23:08:00"/>
    <d v="2023-03-20T22:06:00"/>
    <d v="2023-03-20T23:24:00"/>
    <x v="1"/>
    <x v="1"/>
    <x v="0"/>
    <x v="0"/>
  </r>
  <r>
    <x v="3"/>
    <x v="0"/>
    <n v="1.1000000000000001"/>
    <n v="95"/>
    <n v="4.05"/>
    <n v="89"/>
    <d v="2023-03-20T22:00:00"/>
    <d v="2023-03-20T23:35:00"/>
    <d v="2023-03-20T21:59:00"/>
    <d v="2023-03-20T23:34:00"/>
    <x v="0"/>
    <x v="1"/>
    <x v="0"/>
    <x v="0"/>
  </r>
  <r>
    <x v="2"/>
    <x v="3"/>
    <n v="3.88"/>
    <n v="48"/>
    <n v="7.49"/>
    <n v="98"/>
    <d v="2023-03-20T22:10:00"/>
    <d v="2023-03-20T22:58:00"/>
    <d v="2023-03-20T22:09:00"/>
    <d v="2023-03-20T22:57:00"/>
    <x v="0"/>
    <x v="1"/>
    <x v="0"/>
    <x v="0"/>
  </r>
  <r>
    <x v="3"/>
    <x v="1"/>
    <n v="1.59"/>
    <n v="110"/>
    <n v="12.16"/>
    <n v="82"/>
    <d v="2023-03-20T22:20:00"/>
    <d v="2023-03-21T00:10:00"/>
    <m/>
    <m/>
    <x v="2"/>
    <x v="1"/>
    <x v="1"/>
    <x v="1"/>
  </r>
  <r>
    <x v="1"/>
    <x v="4"/>
    <n v="3.87"/>
    <n v="52"/>
    <n v="13.19"/>
    <n v="88"/>
    <d v="2023-03-20T22:30:00"/>
    <d v="2023-03-20T23:22:00"/>
    <d v="2023-03-20T22:25:00"/>
    <d v="2023-03-20T23:17:00"/>
    <x v="0"/>
    <x v="1"/>
    <x v="0"/>
    <x v="0"/>
  </r>
  <r>
    <x v="2"/>
    <x v="3"/>
    <n v="2.39"/>
    <n v="61"/>
    <n v="6.11"/>
    <n v="94"/>
    <d v="2023-03-20T22:40:00"/>
    <d v="2023-03-20T23:41:00"/>
    <d v="2023-03-20T22:43:00"/>
    <d v="2023-03-20T23:44:00"/>
    <x v="0"/>
    <x v="2"/>
    <x v="0"/>
    <x v="0"/>
  </r>
  <r>
    <x v="0"/>
    <x v="0"/>
    <n v="1.78"/>
    <n v="63"/>
    <n v="4.78"/>
    <n v="97"/>
    <d v="2023-03-20T22:50:00"/>
    <d v="2023-03-20T23:53:00"/>
    <m/>
    <m/>
    <x v="2"/>
    <x v="1"/>
    <x v="1"/>
    <x v="1"/>
  </r>
  <r>
    <x v="0"/>
    <x v="1"/>
    <n v="4.05"/>
    <n v="47"/>
    <n v="5.13"/>
    <n v="81"/>
    <d v="2023-03-20T23:00:00"/>
    <d v="2023-03-20T23:47:00"/>
    <d v="2023-03-20T22:57:00"/>
    <d v="2023-03-20T23:44:00"/>
    <x v="0"/>
    <x v="1"/>
    <x v="0"/>
    <x v="0"/>
  </r>
  <r>
    <x v="2"/>
    <x v="2"/>
    <n v="3.25"/>
    <n v="46"/>
    <n v="4.7"/>
    <n v="98"/>
    <d v="2023-03-20T23:10:00"/>
    <d v="2023-03-20T23:56:00"/>
    <d v="2023-03-20T23:12:00"/>
    <d v="2023-03-20T23:58:00"/>
    <x v="0"/>
    <x v="2"/>
    <x v="0"/>
    <x v="0"/>
  </r>
  <r>
    <x v="0"/>
    <x v="1"/>
    <n v="1.33"/>
    <n v="89"/>
    <n v="7.85"/>
    <n v="86"/>
    <d v="2023-03-20T23:20:00"/>
    <d v="2023-03-21T00:49:00"/>
    <d v="2023-03-20T23:22:00"/>
    <d v="2023-03-21T00:51:00"/>
    <x v="0"/>
    <x v="2"/>
    <x v="0"/>
    <x v="0"/>
  </r>
  <r>
    <x v="1"/>
    <x v="2"/>
    <n v="3.53"/>
    <n v="72"/>
    <n v="14.49"/>
    <n v="99"/>
    <d v="2023-03-20T23:30:00"/>
    <d v="2023-03-21T00:42:00"/>
    <d v="2023-03-20T23:32:00"/>
    <d v="2023-03-21T00:44:00"/>
    <x v="0"/>
    <x v="0"/>
    <x v="0"/>
    <x v="0"/>
  </r>
  <r>
    <x v="0"/>
    <x v="2"/>
    <n v="1.0900000000000001"/>
    <n v="65"/>
    <n v="3.68"/>
    <n v="81"/>
    <d v="2023-03-20T23:40:00"/>
    <d v="2023-03-21T00:45:00"/>
    <d v="2023-03-21T00:01:00"/>
    <d v="2023-03-21T01:06:00"/>
    <x v="1"/>
    <x v="1"/>
    <x v="0"/>
    <x v="0"/>
  </r>
  <r>
    <x v="0"/>
    <x v="0"/>
    <n v="2.66"/>
    <n v="50"/>
    <n v="11.62"/>
    <n v="91"/>
    <d v="2023-03-20T23:50:00"/>
    <d v="2023-03-21T00:40:00"/>
    <d v="2023-03-20T23:49:00"/>
    <d v="2023-03-21T00:39:00"/>
    <x v="0"/>
    <x v="1"/>
    <x v="0"/>
    <x v="0"/>
  </r>
  <r>
    <x v="2"/>
    <x v="3"/>
    <n v="4.75"/>
    <n v="59"/>
    <n v="3.65"/>
    <n v="80"/>
    <d v="2023-03-21T00:00:00"/>
    <d v="2023-03-21T00:59:00"/>
    <d v="2023-03-21T00:00:00"/>
    <d v="2023-03-21T00:59:00"/>
    <x v="0"/>
    <x v="2"/>
    <x v="0"/>
    <x v="0"/>
  </r>
  <r>
    <x v="3"/>
    <x v="0"/>
    <n v="2.75"/>
    <n v="73"/>
    <n v="5.47"/>
    <n v="87"/>
    <d v="2023-03-21T00:10:00"/>
    <d v="2023-03-21T01:23:00"/>
    <d v="2023-03-21T00:13:00"/>
    <d v="2023-03-21T01:26:00"/>
    <x v="0"/>
    <x v="2"/>
    <x v="0"/>
    <x v="0"/>
  </r>
  <r>
    <x v="0"/>
    <x v="0"/>
    <n v="3.21"/>
    <n v="42"/>
    <n v="4.47"/>
    <n v="99"/>
    <d v="2023-03-21T00:20:00"/>
    <d v="2023-03-21T01:02:00"/>
    <d v="2023-03-21T00:16:00"/>
    <d v="2023-03-21T00:58:00"/>
    <x v="0"/>
    <x v="1"/>
    <x v="0"/>
    <x v="0"/>
  </r>
  <r>
    <x v="3"/>
    <x v="3"/>
    <n v="1.2"/>
    <n v="24"/>
    <n v="11.46"/>
    <n v="97"/>
    <d v="2023-03-21T00:30:00"/>
    <d v="2023-03-21T00:54:00"/>
    <d v="2023-03-21T00:28:00"/>
    <d v="2023-03-21T00:52:00"/>
    <x v="0"/>
    <x v="1"/>
    <x v="0"/>
    <x v="0"/>
  </r>
  <r>
    <x v="0"/>
    <x v="1"/>
    <n v="4.5599999999999996"/>
    <n v="71"/>
    <n v="9.02"/>
    <n v="83"/>
    <d v="2023-03-21T00:40:00"/>
    <d v="2023-03-21T01:51:00"/>
    <d v="2023-03-21T00:40:00"/>
    <d v="2023-03-21T01:51:00"/>
    <x v="0"/>
    <x v="2"/>
    <x v="0"/>
    <x v="0"/>
  </r>
  <r>
    <x v="1"/>
    <x v="0"/>
    <n v="3.63"/>
    <n v="76"/>
    <n v="11.35"/>
    <n v="93"/>
    <d v="2023-03-21T00:50:00"/>
    <d v="2023-03-21T02:06:00"/>
    <d v="2023-03-21T01:04:00"/>
    <d v="2023-03-21T02:20:00"/>
    <x v="1"/>
    <x v="1"/>
    <x v="0"/>
    <x v="0"/>
  </r>
  <r>
    <x v="4"/>
    <x v="2"/>
    <n v="2.59"/>
    <n v="35"/>
    <n v="4.83"/>
    <n v="83"/>
    <d v="2023-03-21T01:00:00"/>
    <d v="2023-03-21T01:35:00"/>
    <d v="2023-03-21T00:58:00"/>
    <d v="2023-03-21T01:33:00"/>
    <x v="0"/>
    <x v="1"/>
    <x v="0"/>
    <x v="0"/>
  </r>
  <r>
    <x v="0"/>
    <x v="3"/>
    <n v="2.92"/>
    <n v="96"/>
    <n v="10.86"/>
    <n v="87"/>
    <d v="2023-03-21T01:10:00"/>
    <d v="2023-03-21T02:46:00"/>
    <d v="2023-03-21T01:06:00"/>
    <d v="2023-03-21T02:42:00"/>
    <x v="0"/>
    <x v="1"/>
    <x v="0"/>
    <x v="0"/>
  </r>
  <r>
    <x v="0"/>
    <x v="0"/>
    <n v="2.96"/>
    <n v="69"/>
    <n v="2.09"/>
    <n v="95"/>
    <d v="2023-03-21T01:20:00"/>
    <d v="2023-03-21T02:29:00"/>
    <d v="2023-03-21T01:17:00"/>
    <d v="2023-03-21T02:26:00"/>
    <x v="0"/>
    <x v="1"/>
    <x v="0"/>
    <x v="0"/>
  </r>
  <r>
    <x v="2"/>
    <x v="3"/>
    <n v="2.5"/>
    <n v="74"/>
    <n v="10.7"/>
    <n v="96"/>
    <d v="2023-03-21T01:30:00"/>
    <d v="2023-03-21T02:44:00"/>
    <d v="2023-03-21T01:32:00"/>
    <d v="2023-03-21T02:46:00"/>
    <x v="0"/>
    <x v="0"/>
    <x v="0"/>
    <x v="0"/>
  </r>
  <r>
    <x v="4"/>
    <x v="2"/>
    <n v="2.89"/>
    <n v="66"/>
    <n v="13"/>
    <n v="87"/>
    <d v="2023-03-21T01:40:00"/>
    <d v="2023-03-21T02:46:00"/>
    <d v="2023-03-21T01:37:00"/>
    <d v="2023-03-21T02:43:00"/>
    <x v="0"/>
    <x v="1"/>
    <x v="0"/>
    <x v="0"/>
  </r>
  <r>
    <x v="2"/>
    <x v="3"/>
    <n v="1.98"/>
    <n v="67"/>
    <n v="6.88"/>
    <n v="89"/>
    <d v="2023-03-21T01:50:00"/>
    <d v="2023-03-21T02:57:00"/>
    <d v="2023-03-21T01:46:00"/>
    <d v="2023-03-21T02:53:00"/>
    <x v="0"/>
    <x v="1"/>
    <x v="0"/>
    <x v="0"/>
  </r>
  <r>
    <x v="3"/>
    <x v="2"/>
    <n v="4.28"/>
    <n v="23"/>
    <n v="8.52"/>
    <n v="81"/>
    <d v="2023-03-21T02:00:00"/>
    <d v="2023-03-21T02:23:00"/>
    <m/>
    <m/>
    <x v="2"/>
    <x v="1"/>
    <x v="1"/>
    <x v="1"/>
  </r>
  <r>
    <x v="0"/>
    <x v="0"/>
    <n v="4.09"/>
    <n v="82"/>
    <n v="13.87"/>
    <n v="86"/>
    <d v="2023-03-21T02:10:00"/>
    <d v="2023-03-21T03:32:00"/>
    <d v="2023-03-21T02:09:00"/>
    <d v="2023-03-21T03:31:00"/>
    <x v="0"/>
    <x v="1"/>
    <x v="0"/>
    <x v="0"/>
  </r>
  <r>
    <x v="3"/>
    <x v="1"/>
    <n v="4.76"/>
    <n v="80"/>
    <n v="12.18"/>
    <n v="91"/>
    <d v="2023-03-21T02:20:00"/>
    <d v="2023-03-21T03:40:00"/>
    <d v="2023-03-21T02:19:00"/>
    <d v="2023-03-21T03:39:00"/>
    <x v="0"/>
    <x v="1"/>
    <x v="0"/>
    <x v="0"/>
  </r>
  <r>
    <x v="2"/>
    <x v="0"/>
    <n v="4.34"/>
    <n v="24"/>
    <n v="2.23"/>
    <n v="95"/>
    <d v="2023-03-21T02:30:00"/>
    <d v="2023-03-21T02:54:00"/>
    <d v="2023-03-21T03:00:00"/>
    <d v="2023-03-21T03:24:00"/>
    <x v="1"/>
    <x v="1"/>
    <x v="0"/>
    <x v="0"/>
  </r>
  <r>
    <x v="1"/>
    <x v="0"/>
    <n v="4.2699999999999996"/>
    <n v="49"/>
    <n v="8.1"/>
    <n v="96"/>
    <d v="2023-03-21T02:40:00"/>
    <d v="2023-03-21T03:29:00"/>
    <m/>
    <m/>
    <x v="2"/>
    <x v="1"/>
    <x v="1"/>
    <x v="1"/>
  </r>
  <r>
    <x v="1"/>
    <x v="3"/>
    <n v="2.94"/>
    <n v="113"/>
    <n v="10.78"/>
    <n v="94"/>
    <d v="2023-03-21T02:50:00"/>
    <d v="2023-03-21T04:43:00"/>
    <d v="2023-03-21T02:48:00"/>
    <d v="2023-03-21T04:41:00"/>
    <x v="0"/>
    <x v="1"/>
    <x v="0"/>
    <x v="0"/>
  </r>
  <r>
    <x v="3"/>
    <x v="0"/>
    <n v="2.0699999999999998"/>
    <n v="113"/>
    <n v="11.6"/>
    <n v="96"/>
    <d v="2023-03-21T03:00:00"/>
    <d v="2023-03-21T04:53:00"/>
    <d v="2023-03-21T03:02:00"/>
    <d v="2023-03-21T04:55:00"/>
    <x v="0"/>
    <x v="0"/>
    <x v="0"/>
    <x v="0"/>
  </r>
  <r>
    <x v="0"/>
    <x v="3"/>
    <n v="1.1599999999999999"/>
    <n v="89"/>
    <n v="11.11"/>
    <n v="96"/>
    <d v="2023-03-21T03:10:00"/>
    <d v="2023-03-21T04:39:00"/>
    <d v="2023-03-21T03:24:00"/>
    <d v="2023-03-21T04:53:00"/>
    <x v="1"/>
    <x v="1"/>
    <x v="0"/>
    <x v="0"/>
  </r>
  <r>
    <x v="4"/>
    <x v="4"/>
    <n v="3.04"/>
    <n v="100"/>
    <n v="8.0500000000000007"/>
    <n v="88"/>
    <d v="2023-03-21T03:20:00"/>
    <d v="2023-03-21T05:00:00"/>
    <d v="2023-03-21T03:24:00"/>
    <d v="2023-03-21T05:04:00"/>
    <x v="0"/>
    <x v="0"/>
    <x v="0"/>
    <x v="0"/>
  </r>
  <r>
    <x v="2"/>
    <x v="4"/>
    <n v="1.32"/>
    <n v="87"/>
    <n v="3.5"/>
    <n v="83"/>
    <d v="2023-03-21T03:30:00"/>
    <d v="2023-03-21T04:57:00"/>
    <d v="2023-03-21T03:30:00"/>
    <d v="2023-03-21T04:57:00"/>
    <x v="0"/>
    <x v="2"/>
    <x v="0"/>
    <x v="0"/>
  </r>
  <r>
    <x v="2"/>
    <x v="4"/>
    <n v="4.92"/>
    <n v="120"/>
    <n v="11.91"/>
    <n v="90"/>
    <d v="2023-03-21T03:40:00"/>
    <d v="2023-03-21T05:40:00"/>
    <d v="2023-03-21T04:06:00"/>
    <d v="2023-03-21T06:06:00"/>
    <x v="1"/>
    <x v="1"/>
    <x v="0"/>
    <x v="0"/>
  </r>
  <r>
    <x v="4"/>
    <x v="4"/>
    <n v="1.42"/>
    <n v="54"/>
    <n v="7.62"/>
    <n v="88"/>
    <d v="2023-03-21T03:50:00"/>
    <d v="2023-03-21T04:44:00"/>
    <d v="2023-03-21T03:52:00"/>
    <d v="2023-03-21T04:46:00"/>
    <x v="0"/>
    <x v="2"/>
    <x v="0"/>
    <x v="0"/>
  </r>
  <r>
    <x v="3"/>
    <x v="0"/>
    <n v="2.94"/>
    <n v="31"/>
    <n v="12.64"/>
    <n v="84"/>
    <d v="2023-03-21T04:00:00"/>
    <d v="2023-03-21T04:31:00"/>
    <d v="2023-03-21T04:14:00"/>
    <d v="2023-03-21T04:45:00"/>
    <x v="1"/>
    <x v="1"/>
    <x v="0"/>
    <x v="0"/>
  </r>
  <r>
    <x v="3"/>
    <x v="3"/>
    <n v="3.4"/>
    <n v="93"/>
    <n v="2.77"/>
    <n v="91"/>
    <d v="2023-03-21T04:10:00"/>
    <d v="2023-03-21T05:43:00"/>
    <d v="2023-03-21T04:14:00"/>
    <d v="2023-03-21T05:47:00"/>
    <x v="0"/>
    <x v="2"/>
    <x v="0"/>
    <x v="0"/>
  </r>
  <r>
    <x v="4"/>
    <x v="0"/>
    <n v="2.37"/>
    <n v="96"/>
    <n v="12.16"/>
    <n v="91"/>
    <d v="2023-03-21T04:20:00"/>
    <d v="2023-03-21T05:56:00"/>
    <d v="2023-03-21T04:44:00"/>
    <d v="2023-03-21T06:20:00"/>
    <x v="1"/>
    <x v="1"/>
    <x v="0"/>
    <x v="0"/>
  </r>
  <r>
    <x v="0"/>
    <x v="2"/>
    <n v="4.53"/>
    <n v="46"/>
    <n v="2.94"/>
    <n v="83"/>
    <d v="2023-03-21T04:30:00"/>
    <d v="2023-03-21T05:16:00"/>
    <d v="2023-03-21T04:47:00"/>
    <d v="2023-03-21T05:33:00"/>
    <x v="1"/>
    <x v="1"/>
    <x v="0"/>
    <x v="0"/>
  </r>
  <r>
    <x v="1"/>
    <x v="0"/>
    <n v="1.53"/>
    <n v="22"/>
    <n v="4.2300000000000004"/>
    <n v="98"/>
    <d v="2023-03-21T04:40:00"/>
    <d v="2023-03-21T05:02:00"/>
    <d v="2023-03-21T04:39:00"/>
    <d v="2023-03-21T05:01:00"/>
    <x v="0"/>
    <x v="1"/>
    <x v="0"/>
    <x v="0"/>
  </r>
  <r>
    <x v="4"/>
    <x v="0"/>
    <n v="3.26"/>
    <n v="31"/>
    <n v="2.08"/>
    <n v="90"/>
    <d v="2023-03-21T04:50:00"/>
    <d v="2023-03-21T05:21:00"/>
    <d v="2023-03-21T05:03:00"/>
    <d v="2023-03-21T05:34:00"/>
    <x v="1"/>
    <x v="1"/>
    <x v="0"/>
    <x v="0"/>
  </r>
  <r>
    <x v="2"/>
    <x v="2"/>
    <n v="1.1499999999999999"/>
    <n v="33"/>
    <n v="7.35"/>
    <n v="92"/>
    <d v="2023-03-21T05:00:00"/>
    <d v="2023-03-21T05:33:00"/>
    <d v="2023-03-21T05:25:00"/>
    <d v="2023-03-21T05:58:00"/>
    <x v="1"/>
    <x v="1"/>
    <x v="0"/>
    <x v="0"/>
  </r>
  <r>
    <x v="0"/>
    <x v="1"/>
    <n v="3.38"/>
    <n v="107"/>
    <n v="11.97"/>
    <n v="97"/>
    <d v="2023-03-21T05:10:00"/>
    <d v="2023-03-21T06:57:00"/>
    <d v="2023-03-21T05:05:00"/>
    <d v="2023-03-21T06:52:00"/>
    <x v="0"/>
    <x v="1"/>
    <x v="0"/>
    <x v="0"/>
  </r>
  <r>
    <x v="0"/>
    <x v="4"/>
    <n v="4.9800000000000004"/>
    <n v="50"/>
    <n v="6.94"/>
    <n v="91"/>
    <d v="2023-03-21T05:20:00"/>
    <d v="2023-03-21T06:10:00"/>
    <m/>
    <m/>
    <x v="2"/>
    <x v="1"/>
    <x v="1"/>
    <x v="1"/>
  </r>
  <r>
    <x v="1"/>
    <x v="0"/>
    <n v="1.35"/>
    <n v="40"/>
    <n v="8.17"/>
    <n v="86"/>
    <d v="2023-03-21T05:30:00"/>
    <d v="2023-03-21T06:10:00"/>
    <d v="2023-03-21T05:32:00"/>
    <d v="2023-03-21T06:12:00"/>
    <x v="0"/>
    <x v="2"/>
    <x v="0"/>
    <x v="0"/>
  </r>
  <r>
    <x v="3"/>
    <x v="2"/>
    <n v="1.3"/>
    <n v="43"/>
    <n v="13.53"/>
    <n v="80"/>
    <d v="2023-03-21T05:40:00"/>
    <d v="2023-03-21T06:23:00"/>
    <d v="2023-03-21T05:43:00"/>
    <d v="2023-03-21T06:26:00"/>
    <x v="0"/>
    <x v="0"/>
    <x v="0"/>
    <x v="0"/>
  </r>
  <r>
    <x v="2"/>
    <x v="1"/>
    <n v="3.69"/>
    <n v="115"/>
    <n v="12.24"/>
    <n v="85"/>
    <d v="2023-03-21T05:50:00"/>
    <d v="2023-03-21T07:45:00"/>
    <d v="2023-03-21T05:47:00"/>
    <d v="2023-03-21T07:42:00"/>
    <x v="0"/>
    <x v="1"/>
    <x v="0"/>
    <x v="0"/>
  </r>
  <r>
    <x v="2"/>
    <x v="3"/>
    <n v="4.3"/>
    <n v="96"/>
    <n v="9.69"/>
    <n v="82"/>
    <d v="2023-03-21T06:00:00"/>
    <d v="2023-03-21T07:36:00"/>
    <d v="2023-03-21T05:56:00"/>
    <d v="2023-03-21T07:32:00"/>
    <x v="0"/>
    <x v="1"/>
    <x v="0"/>
    <x v="0"/>
  </r>
  <r>
    <x v="0"/>
    <x v="1"/>
    <n v="1.49"/>
    <n v="119"/>
    <n v="6.31"/>
    <n v="87"/>
    <d v="2023-03-21T06:10:00"/>
    <d v="2023-03-21T08:09:00"/>
    <d v="2023-03-21T06:08:00"/>
    <d v="2023-03-21T08:07:00"/>
    <x v="0"/>
    <x v="1"/>
    <x v="0"/>
    <x v="0"/>
  </r>
  <r>
    <x v="3"/>
    <x v="0"/>
    <n v="3.04"/>
    <n v="105"/>
    <n v="12.92"/>
    <n v="89"/>
    <d v="2023-03-21T06:20:00"/>
    <d v="2023-03-21T08:05:00"/>
    <d v="2023-03-21T06:35:00"/>
    <d v="2023-03-21T08:20:00"/>
    <x v="1"/>
    <x v="1"/>
    <x v="0"/>
    <x v="0"/>
  </r>
  <r>
    <x v="0"/>
    <x v="3"/>
    <n v="1.35"/>
    <n v="64"/>
    <n v="8.93"/>
    <n v="86"/>
    <d v="2023-03-21T06:30:00"/>
    <d v="2023-03-21T07:34:00"/>
    <m/>
    <m/>
    <x v="2"/>
    <x v="1"/>
    <x v="1"/>
    <x v="1"/>
  </r>
  <r>
    <x v="2"/>
    <x v="4"/>
    <n v="4.96"/>
    <n v="110"/>
    <n v="10.48"/>
    <n v="91"/>
    <d v="2023-03-21T06:40:00"/>
    <d v="2023-03-21T08:30:00"/>
    <d v="2023-03-21T06:58:00"/>
    <d v="2023-03-21T08:48:00"/>
    <x v="1"/>
    <x v="1"/>
    <x v="0"/>
    <x v="0"/>
  </r>
  <r>
    <x v="3"/>
    <x v="3"/>
    <n v="4.0199999999999996"/>
    <n v="74"/>
    <n v="7.11"/>
    <n v="92"/>
    <d v="2023-03-21T06:50:00"/>
    <d v="2023-03-21T08:04:00"/>
    <d v="2023-03-21T07:17:00"/>
    <d v="2023-03-21T08:31:00"/>
    <x v="1"/>
    <x v="1"/>
    <x v="0"/>
    <x v="0"/>
  </r>
  <r>
    <x v="3"/>
    <x v="3"/>
    <n v="3.79"/>
    <n v="64"/>
    <n v="10.25"/>
    <n v="98"/>
    <d v="2023-03-21T07:00:00"/>
    <d v="2023-03-21T08:04:00"/>
    <d v="2023-03-21T06:56:00"/>
    <d v="2023-03-21T08:00:00"/>
    <x v="0"/>
    <x v="1"/>
    <x v="0"/>
    <x v="0"/>
  </r>
  <r>
    <x v="3"/>
    <x v="3"/>
    <n v="3.22"/>
    <n v="37"/>
    <n v="11.13"/>
    <n v="88"/>
    <d v="2023-03-21T07:10:00"/>
    <d v="2023-03-21T07:47:00"/>
    <d v="2023-03-21T07:09:00"/>
    <d v="2023-03-21T07:46:00"/>
    <x v="0"/>
    <x v="1"/>
    <x v="0"/>
    <x v="0"/>
  </r>
  <r>
    <x v="0"/>
    <x v="4"/>
    <n v="4.3600000000000003"/>
    <n v="60"/>
    <n v="13.16"/>
    <n v="89"/>
    <d v="2023-03-21T07:20:00"/>
    <d v="2023-03-21T08:20:00"/>
    <d v="2023-03-21T07:19:00"/>
    <d v="2023-03-21T08:19:00"/>
    <x v="0"/>
    <x v="1"/>
    <x v="0"/>
    <x v="0"/>
  </r>
  <r>
    <x v="3"/>
    <x v="2"/>
    <n v="3.39"/>
    <n v="44"/>
    <n v="12.69"/>
    <n v="85"/>
    <d v="2023-03-21T07:30:00"/>
    <d v="2023-03-21T08:14:00"/>
    <d v="2023-03-21T07:31:00"/>
    <d v="2023-03-21T08:15:00"/>
    <x v="0"/>
    <x v="0"/>
    <x v="0"/>
    <x v="0"/>
  </r>
  <r>
    <x v="0"/>
    <x v="0"/>
    <n v="2.09"/>
    <n v="48"/>
    <n v="2.15"/>
    <n v="82"/>
    <d v="2023-03-21T07:40:00"/>
    <d v="2023-03-21T08:28:00"/>
    <d v="2023-03-21T07:39:00"/>
    <d v="2023-03-21T08:27:00"/>
    <x v="0"/>
    <x v="1"/>
    <x v="0"/>
    <x v="0"/>
  </r>
  <r>
    <x v="4"/>
    <x v="2"/>
    <n v="3.14"/>
    <n v="105"/>
    <n v="12.39"/>
    <n v="96"/>
    <d v="2023-03-21T07:50:00"/>
    <d v="2023-03-21T09:35:00"/>
    <d v="2023-03-21T08:03:00"/>
    <d v="2023-03-21T09:48:00"/>
    <x v="1"/>
    <x v="1"/>
    <x v="0"/>
    <x v="0"/>
  </r>
  <r>
    <x v="1"/>
    <x v="3"/>
    <n v="1.52"/>
    <n v="46"/>
    <n v="9.5399999999999991"/>
    <n v="89"/>
    <d v="2023-03-21T08:00:00"/>
    <d v="2023-03-21T08:46:00"/>
    <d v="2023-03-21T07:56:00"/>
    <d v="2023-03-21T08:42:00"/>
    <x v="0"/>
    <x v="1"/>
    <x v="0"/>
    <x v="0"/>
  </r>
  <r>
    <x v="3"/>
    <x v="0"/>
    <n v="3.21"/>
    <n v="87"/>
    <n v="14.22"/>
    <n v="80"/>
    <d v="2023-03-21T08:10:00"/>
    <d v="2023-03-21T09:37:00"/>
    <d v="2023-03-21T08:13:00"/>
    <d v="2023-03-21T09:40:00"/>
    <x v="0"/>
    <x v="0"/>
    <x v="0"/>
    <x v="0"/>
  </r>
  <r>
    <x v="2"/>
    <x v="0"/>
    <n v="4.42"/>
    <n v="51"/>
    <n v="4.84"/>
    <n v="80"/>
    <d v="2023-03-21T08:20:00"/>
    <d v="2023-03-21T09:11:00"/>
    <d v="2023-03-21T08:25:00"/>
    <d v="2023-03-21T09:16:00"/>
    <x v="0"/>
    <x v="2"/>
    <x v="0"/>
    <x v="0"/>
  </r>
  <r>
    <x v="1"/>
    <x v="4"/>
    <n v="3.55"/>
    <n v="59"/>
    <n v="3.27"/>
    <n v="98"/>
    <d v="2023-03-21T08:30:00"/>
    <d v="2023-03-21T09:29:00"/>
    <d v="2023-03-21T08:49:00"/>
    <d v="2023-03-21T09:48:00"/>
    <x v="1"/>
    <x v="1"/>
    <x v="0"/>
    <x v="0"/>
  </r>
  <r>
    <x v="3"/>
    <x v="1"/>
    <n v="4.5999999999999996"/>
    <n v="57"/>
    <n v="11.57"/>
    <n v="88"/>
    <d v="2023-03-21T08:40:00"/>
    <d v="2023-03-21T09:37:00"/>
    <d v="2023-03-21T08:39:00"/>
    <d v="2023-03-21T09:36:00"/>
    <x v="0"/>
    <x v="1"/>
    <x v="0"/>
    <x v="0"/>
  </r>
  <r>
    <x v="1"/>
    <x v="4"/>
    <n v="4.5999999999999996"/>
    <n v="109"/>
    <n v="14.03"/>
    <n v="83"/>
    <d v="2023-03-21T08:50:00"/>
    <d v="2023-03-21T10:39:00"/>
    <d v="2023-03-21T09:16:00"/>
    <d v="2023-03-21T11:05:00"/>
    <x v="1"/>
    <x v="1"/>
    <x v="0"/>
    <x v="0"/>
  </r>
  <r>
    <x v="2"/>
    <x v="4"/>
    <n v="3.4"/>
    <n v="115"/>
    <n v="7.11"/>
    <n v="97"/>
    <d v="2023-03-21T09:00:00"/>
    <d v="2023-03-21T10:55:00"/>
    <d v="2023-03-21T09:30:00"/>
    <d v="2023-03-21T11:25:00"/>
    <x v="1"/>
    <x v="1"/>
    <x v="0"/>
    <x v="0"/>
  </r>
  <r>
    <x v="1"/>
    <x v="2"/>
    <n v="3.57"/>
    <n v="98"/>
    <n v="2.65"/>
    <n v="80"/>
    <d v="2023-03-21T09:10:00"/>
    <d v="2023-03-21T10:48:00"/>
    <d v="2023-03-21T09:14:00"/>
    <d v="2023-03-21T10:52:00"/>
    <x v="0"/>
    <x v="2"/>
    <x v="0"/>
    <x v="0"/>
  </r>
  <r>
    <x v="1"/>
    <x v="4"/>
    <n v="2.83"/>
    <n v="62"/>
    <n v="4.8"/>
    <n v="86"/>
    <d v="2023-03-21T09:20:00"/>
    <d v="2023-03-21T10:22:00"/>
    <m/>
    <m/>
    <x v="2"/>
    <x v="1"/>
    <x v="1"/>
    <x v="1"/>
  </r>
  <r>
    <x v="3"/>
    <x v="4"/>
    <n v="2.77"/>
    <n v="97"/>
    <n v="3.62"/>
    <n v="87"/>
    <d v="2023-03-21T09:30:00"/>
    <d v="2023-03-21T11:07:00"/>
    <d v="2023-03-21T09:27:00"/>
    <d v="2023-03-21T11:04:00"/>
    <x v="0"/>
    <x v="1"/>
    <x v="0"/>
    <x v="0"/>
  </r>
  <r>
    <x v="4"/>
    <x v="2"/>
    <n v="2.1"/>
    <n v="109"/>
    <n v="12.1"/>
    <n v="97"/>
    <d v="2023-03-21T09:40:00"/>
    <d v="2023-03-21T11:29:00"/>
    <d v="2023-03-21T09:41:00"/>
    <d v="2023-03-21T11:30:00"/>
    <x v="0"/>
    <x v="0"/>
    <x v="0"/>
    <x v="0"/>
  </r>
  <r>
    <x v="4"/>
    <x v="0"/>
    <n v="4.32"/>
    <n v="56"/>
    <n v="14.6"/>
    <n v="83"/>
    <d v="2023-03-21T09:50:00"/>
    <d v="2023-03-21T10:46:00"/>
    <d v="2023-03-21T09:54:00"/>
    <d v="2023-03-21T10:50:00"/>
    <x v="0"/>
    <x v="0"/>
    <x v="0"/>
    <x v="0"/>
  </r>
  <r>
    <x v="1"/>
    <x v="2"/>
    <n v="3.54"/>
    <n v="56"/>
    <n v="5.0599999999999996"/>
    <n v="98"/>
    <d v="2023-03-21T10:00:00"/>
    <d v="2023-03-21T10:56:00"/>
    <d v="2023-03-21T09:56:00"/>
    <d v="2023-03-21T10:52:00"/>
    <x v="0"/>
    <x v="1"/>
    <x v="0"/>
    <x v="0"/>
  </r>
  <r>
    <x v="4"/>
    <x v="2"/>
    <n v="2.2000000000000002"/>
    <n v="62"/>
    <n v="10.68"/>
    <n v="97"/>
    <d v="2023-03-21T10:10:00"/>
    <d v="2023-03-21T11:12:00"/>
    <m/>
    <m/>
    <x v="2"/>
    <x v="1"/>
    <x v="1"/>
    <x v="1"/>
  </r>
  <r>
    <x v="0"/>
    <x v="3"/>
    <n v="3.02"/>
    <n v="73"/>
    <n v="3.13"/>
    <n v="87"/>
    <d v="2023-03-21T10:20:00"/>
    <d v="2023-03-21T11:33:00"/>
    <d v="2023-03-21T10:20:00"/>
    <d v="2023-03-21T11:33:00"/>
    <x v="0"/>
    <x v="3"/>
    <x v="0"/>
    <x v="0"/>
  </r>
  <r>
    <x v="3"/>
    <x v="4"/>
    <n v="4.17"/>
    <n v="54"/>
    <n v="12.99"/>
    <n v="84"/>
    <d v="2023-03-21T10:30:00"/>
    <d v="2023-03-21T11:24:00"/>
    <d v="2023-03-21T10:33:00"/>
    <d v="2023-03-21T11:27:00"/>
    <x v="0"/>
    <x v="0"/>
    <x v="0"/>
    <x v="0"/>
  </r>
  <r>
    <x v="0"/>
    <x v="0"/>
    <n v="4.6500000000000004"/>
    <n v="118"/>
    <n v="3.42"/>
    <n v="89"/>
    <d v="2023-03-21T10:40:00"/>
    <d v="2023-03-21T12:38:00"/>
    <d v="2023-03-21T10:40:00"/>
    <d v="2023-03-21T12:38:00"/>
    <x v="0"/>
    <x v="2"/>
    <x v="0"/>
    <x v="0"/>
  </r>
  <r>
    <x v="3"/>
    <x v="3"/>
    <n v="4.1100000000000003"/>
    <n v="95"/>
    <n v="4.55"/>
    <n v="92"/>
    <d v="2023-03-21T10:50:00"/>
    <d v="2023-03-21T12:25:00"/>
    <d v="2023-03-21T11:16:00"/>
    <d v="2023-03-21T12:51:00"/>
    <x v="1"/>
    <x v="1"/>
    <x v="0"/>
    <x v="0"/>
  </r>
  <r>
    <x v="0"/>
    <x v="0"/>
    <n v="4.92"/>
    <n v="109"/>
    <n v="9.01"/>
    <n v="92"/>
    <d v="2023-03-21T11:00:00"/>
    <d v="2023-03-21T12:49:00"/>
    <d v="2023-03-21T11:10:00"/>
    <d v="2023-03-21T12:59:00"/>
    <x v="1"/>
    <x v="1"/>
    <x v="0"/>
    <x v="0"/>
  </r>
  <r>
    <x v="2"/>
    <x v="4"/>
    <n v="1.82"/>
    <n v="110"/>
    <n v="7.81"/>
    <n v="99"/>
    <d v="2023-03-21T11:10:00"/>
    <d v="2023-03-21T13:00:00"/>
    <d v="2023-03-21T11:15:00"/>
    <d v="2023-03-21T13:05:00"/>
    <x v="0"/>
    <x v="0"/>
    <x v="0"/>
    <x v="0"/>
  </r>
  <r>
    <x v="4"/>
    <x v="1"/>
    <n v="3.78"/>
    <n v="113"/>
    <n v="5.09"/>
    <n v="91"/>
    <d v="2023-03-21T11:20:00"/>
    <d v="2023-03-21T13:13:00"/>
    <d v="2023-03-21T11:24:00"/>
    <d v="2023-03-21T13:17:00"/>
    <x v="0"/>
    <x v="2"/>
    <x v="0"/>
    <x v="0"/>
  </r>
  <r>
    <x v="4"/>
    <x v="1"/>
    <n v="4.4400000000000004"/>
    <n v="55"/>
    <n v="6.99"/>
    <n v="91"/>
    <d v="2023-03-21T11:30:00"/>
    <d v="2023-03-21T12:25:00"/>
    <d v="2023-03-21T11:52:00"/>
    <d v="2023-03-21T12:47:00"/>
    <x v="1"/>
    <x v="1"/>
    <x v="0"/>
    <x v="0"/>
  </r>
  <r>
    <x v="0"/>
    <x v="0"/>
    <n v="3.88"/>
    <n v="107"/>
    <n v="2.35"/>
    <n v="92"/>
    <d v="2023-03-21T11:40:00"/>
    <d v="2023-03-21T13:27:00"/>
    <d v="2023-03-21T11:42:00"/>
    <d v="2023-03-21T13:29:00"/>
    <x v="0"/>
    <x v="2"/>
    <x v="0"/>
    <x v="0"/>
  </r>
  <r>
    <x v="3"/>
    <x v="4"/>
    <n v="4.58"/>
    <n v="75"/>
    <n v="7.59"/>
    <n v="83"/>
    <d v="2023-03-21T11:50:00"/>
    <d v="2023-03-21T13:05:00"/>
    <d v="2023-03-21T12:15:00"/>
    <d v="2023-03-21T13:30:00"/>
    <x v="1"/>
    <x v="1"/>
    <x v="0"/>
    <x v="0"/>
  </r>
  <r>
    <x v="2"/>
    <x v="1"/>
    <n v="4.92"/>
    <n v="101"/>
    <n v="14.23"/>
    <n v="93"/>
    <d v="2023-03-21T12:00:00"/>
    <d v="2023-03-21T13:41:00"/>
    <d v="2023-03-21T12:28:00"/>
    <d v="2023-03-21T14:09:00"/>
    <x v="1"/>
    <x v="1"/>
    <x v="0"/>
    <x v="0"/>
  </r>
  <r>
    <x v="4"/>
    <x v="0"/>
    <n v="4.18"/>
    <n v="110"/>
    <n v="12.73"/>
    <n v="85"/>
    <d v="2023-03-21T12:10:00"/>
    <d v="2023-03-21T14:00:00"/>
    <d v="2023-03-21T12:09:00"/>
    <d v="2023-03-21T13:59:00"/>
    <x v="0"/>
    <x v="1"/>
    <x v="0"/>
    <x v="0"/>
  </r>
  <r>
    <x v="2"/>
    <x v="0"/>
    <n v="4.68"/>
    <n v="93"/>
    <n v="10.61"/>
    <n v="83"/>
    <d v="2023-03-21T12:20:00"/>
    <d v="2023-03-21T13:53:00"/>
    <d v="2023-03-21T12:21:00"/>
    <d v="2023-03-21T13:54:00"/>
    <x v="0"/>
    <x v="0"/>
    <x v="0"/>
    <x v="0"/>
  </r>
  <r>
    <x v="1"/>
    <x v="0"/>
    <n v="4.8899999999999997"/>
    <n v="105"/>
    <n v="4.74"/>
    <n v="87"/>
    <d v="2023-03-21T12:30:00"/>
    <d v="2023-03-21T14:15:00"/>
    <d v="2023-03-21T12:28:00"/>
    <d v="2023-03-21T14:13:00"/>
    <x v="0"/>
    <x v="1"/>
    <x v="0"/>
    <x v="0"/>
  </r>
  <r>
    <x v="2"/>
    <x v="4"/>
    <n v="4.0599999999999996"/>
    <n v="50"/>
    <n v="9.9499999999999993"/>
    <n v="97"/>
    <d v="2023-03-21T12:40:00"/>
    <d v="2023-03-21T13:30:00"/>
    <d v="2023-03-21T12:41:00"/>
    <d v="2023-03-21T13:31:00"/>
    <x v="0"/>
    <x v="0"/>
    <x v="0"/>
    <x v="0"/>
  </r>
  <r>
    <x v="3"/>
    <x v="0"/>
    <n v="4.34"/>
    <n v="46"/>
    <n v="7.51"/>
    <n v="80"/>
    <d v="2023-03-21T12:50:00"/>
    <d v="2023-03-21T13:36:00"/>
    <d v="2023-03-21T13:02:00"/>
    <d v="2023-03-21T13:48:00"/>
    <x v="1"/>
    <x v="1"/>
    <x v="0"/>
    <x v="0"/>
  </r>
  <r>
    <x v="2"/>
    <x v="0"/>
    <n v="2.31"/>
    <n v="28"/>
    <n v="13.03"/>
    <n v="80"/>
    <d v="2023-03-21T13:00:00"/>
    <d v="2023-03-21T13:28:00"/>
    <d v="2023-03-21T12:55:00"/>
    <d v="2023-03-21T13:23:00"/>
    <x v="0"/>
    <x v="1"/>
    <x v="0"/>
    <x v="0"/>
  </r>
  <r>
    <x v="2"/>
    <x v="2"/>
    <n v="1.46"/>
    <n v="92"/>
    <n v="2.84"/>
    <n v="98"/>
    <d v="2023-03-21T13:10:00"/>
    <d v="2023-03-21T14:42:00"/>
    <d v="2023-03-21T13:05:00"/>
    <d v="2023-03-21T14:37:00"/>
    <x v="0"/>
    <x v="1"/>
    <x v="0"/>
    <x v="0"/>
  </r>
  <r>
    <x v="0"/>
    <x v="3"/>
    <n v="4.1900000000000004"/>
    <n v="28"/>
    <n v="2.46"/>
    <n v="89"/>
    <d v="2023-03-21T13:20:00"/>
    <d v="2023-03-21T13:48:00"/>
    <m/>
    <m/>
    <x v="2"/>
    <x v="1"/>
    <x v="1"/>
    <x v="1"/>
  </r>
  <r>
    <x v="0"/>
    <x v="3"/>
    <n v="4.8"/>
    <n v="21"/>
    <n v="11.49"/>
    <n v="83"/>
    <d v="2023-03-21T13:30:00"/>
    <d v="2023-03-21T13:51:00"/>
    <d v="2023-03-21T13:30:00"/>
    <d v="2023-03-21T13:51:00"/>
    <x v="0"/>
    <x v="0"/>
    <x v="0"/>
    <x v="0"/>
  </r>
  <r>
    <x v="0"/>
    <x v="0"/>
    <n v="1.76"/>
    <n v="37"/>
    <n v="10.63"/>
    <n v="97"/>
    <d v="2023-03-21T13:40:00"/>
    <d v="2023-03-21T14:17:00"/>
    <d v="2023-03-21T13:38:00"/>
    <d v="2023-03-21T14:15:00"/>
    <x v="0"/>
    <x v="1"/>
    <x v="0"/>
    <x v="0"/>
  </r>
  <r>
    <x v="3"/>
    <x v="3"/>
    <n v="1.8"/>
    <n v="42"/>
    <n v="9.42"/>
    <n v="82"/>
    <d v="2023-03-21T13:50:00"/>
    <d v="2023-03-21T14:32:00"/>
    <d v="2023-03-21T13:49:00"/>
    <d v="2023-03-21T14:31:00"/>
    <x v="0"/>
    <x v="1"/>
    <x v="0"/>
    <x v="0"/>
  </r>
  <r>
    <x v="1"/>
    <x v="1"/>
    <n v="4.17"/>
    <n v="119"/>
    <n v="9.17"/>
    <n v="92"/>
    <d v="2023-03-21T14:00:00"/>
    <d v="2023-03-21T15:59:00"/>
    <d v="2023-03-21T14:00:00"/>
    <d v="2023-03-21T15:59:00"/>
    <x v="0"/>
    <x v="2"/>
    <x v="0"/>
    <x v="0"/>
  </r>
  <r>
    <x v="3"/>
    <x v="4"/>
    <n v="1.8"/>
    <n v="56"/>
    <n v="11.98"/>
    <n v="87"/>
    <d v="2023-03-21T14:10:00"/>
    <d v="2023-03-21T15:06:00"/>
    <d v="2023-03-21T14:14:00"/>
    <d v="2023-03-21T15:10:00"/>
    <x v="0"/>
    <x v="0"/>
    <x v="0"/>
    <x v="0"/>
  </r>
  <r>
    <x v="0"/>
    <x v="2"/>
    <n v="1.72"/>
    <n v="22"/>
    <n v="2.2999999999999998"/>
    <n v="90"/>
    <d v="2023-03-21T14:20:00"/>
    <d v="2023-03-21T14:42:00"/>
    <d v="2023-03-21T14:25:00"/>
    <d v="2023-03-21T14:47:00"/>
    <x v="0"/>
    <x v="2"/>
    <x v="0"/>
    <x v="0"/>
  </r>
  <r>
    <x v="2"/>
    <x v="0"/>
    <n v="4.92"/>
    <n v="79"/>
    <n v="7.54"/>
    <n v="98"/>
    <d v="2023-03-21T14:30:00"/>
    <d v="2023-03-21T15:49:00"/>
    <d v="2023-03-21T14:26:00"/>
    <d v="2023-03-21T15:45:00"/>
    <x v="0"/>
    <x v="1"/>
    <x v="0"/>
    <x v="0"/>
  </r>
  <r>
    <x v="1"/>
    <x v="2"/>
    <n v="3.84"/>
    <n v="80"/>
    <n v="12.21"/>
    <n v="81"/>
    <d v="2023-03-21T14:40:00"/>
    <d v="2023-03-21T16:00:00"/>
    <d v="2023-03-21T14:35:00"/>
    <d v="2023-03-21T15:55:00"/>
    <x v="0"/>
    <x v="1"/>
    <x v="0"/>
    <x v="0"/>
  </r>
  <r>
    <x v="1"/>
    <x v="0"/>
    <n v="2.98"/>
    <n v="52"/>
    <n v="5.65"/>
    <n v="82"/>
    <d v="2023-03-21T14:50:00"/>
    <d v="2023-03-21T15:42:00"/>
    <d v="2023-03-21T15:20:00"/>
    <d v="2023-03-21T16:12:00"/>
    <x v="1"/>
    <x v="1"/>
    <x v="0"/>
    <x v="0"/>
  </r>
  <r>
    <x v="0"/>
    <x v="2"/>
    <n v="2.0699999999999998"/>
    <n v="106"/>
    <n v="8.41"/>
    <n v="95"/>
    <d v="2023-03-21T15:00:00"/>
    <d v="2023-03-21T16:46:00"/>
    <d v="2023-03-21T15:04:00"/>
    <d v="2023-03-21T16:50:00"/>
    <x v="0"/>
    <x v="0"/>
    <x v="0"/>
    <x v="0"/>
  </r>
  <r>
    <x v="2"/>
    <x v="2"/>
    <n v="2.88"/>
    <n v="83"/>
    <n v="4.1399999999999997"/>
    <n v="86"/>
    <d v="2023-03-21T15:10:00"/>
    <d v="2023-03-21T16:33:00"/>
    <d v="2023-03-21T15:13:00"/>
    <d v="2023-03-21T16:36:00"/>
    <x v="0"/>
    <x v="2"/>
    <x v="0"/>
    <x v="0"/>
  </r>
  <r>
    <x v="0"/>
    <x v="4"/>
    <n v="1.23"/>
    <n v="35"/>
    <n v="14.52"/>
    <n v="98"/>
    <d v="2023-03-21T15:20:00"/>
    <d v="2023-03-21T15:55:00"/>
    <d v="2023-03-21T15:15:00"/>
    <d v="2023-03-21T15:50:00"/>
    <x v="0"/>
    <x v="1"/>
    <x v="0"/>
    <x v="0"/>
  </r>
  <r>
    <x v="3"/>
    <x v="3"/>
    <n v="3.89"/>
    <n v="34"/>
    <n v="7.69"/>
    <n v="90"/>
    <d v="2023-03-21T15:30:00"/>
    <d v="2023-03-21T16:04:00"/>
    <d v="2023-03-21T15:57:00"/>
    <d v="2023-03-21T16:31:00"/>
    <x v="1"/>
    <x v="1"/>
    <x v="0"/>
    <x v="0"/>
  </r>
  <r>
    <x v="2"/>
    <x v="3"/>
    <n v="4.82"/>
    <n v="66"/>
    <n v="3.68"/>
    <n v="97"/>
    <d v="2023-03-21T15:40:00"/>
    <d v="2023-03-21T16:46:00"/>
    <d v="2023-03-21T15:44:00"/>
    <d v="2023-03-21T16:50:00"/>
    <x v="0"/>
    <x v="2"/>
    <x v="0"/>
    <x v="0"/>
  </r>
  <r>
    <x v="0"/>
    <x v="0"/>
    <n v="2.2999999999999998"/>
    <n v="54"/>
    <n v="5.21"/>
    <n v="81"/>
    <d v="2023-03-21T15:50:00"/>
    <d v="2023-03-21T16:44:00"/>
    <d v="2023-03-21T15:45:00"/>
    <d v="2023-03-21T16:39:00"/>
    <x v="0"/>
    <x v="1"/>
    <x v="0"/>
    <x v="0"/>
  </r>
  <r>
    <x v="0"/>
    <x v="0"/>
    <n v="1.84"/>
    <n v="38"/>
    <n v="8.81"/>
    <n v="80"/>
    <d v="2023-03-21T16:00:00"/>
    <d v="2023-03-21T16:38:00"/>
    <d v="2023-03-21T16:20:00"/>
    <d v="2023-03-21T16:58:00"/>
    <x v="1"/>
    <x v="1"/>
    <x v="0"/>
    <x v="0"/>
  </r>
  <r>
    <x v="2"/>
    <x v="1"/>
    <n v="2.88"/>
    <n v="73"/>
    <n v="5.99"/>
    <n v="91"/>
    <d v="2023-03-21T16:10:00"/>
    <d v="2023-03-21T17:23:00"/>
    <d v="2023-03-21T16:12:00"/>
    <d v="2023-03-21T17:25:00"/>
    <x v="0"/>
    <x v="2"/>
    <x v="0"/>
    <x v="0"/>
  </r>
  <r>
    <x v="4"/>
    <x v="3"/>
    <n v="4"/>
    <n v="33"/>
    <n v="3.04"/>
    <n v="83"/>
    <d v="2023-03-21T16:20:00"/>
    <d v="2023-03-21T16:53:00"/>
    <d v="2023-03-21T16:17:00"/>
    <d v="2023-03-21T16:50:00"/>
    <x v="0"/>
    <x v="1"/>
    <x v="0"/>
    <x v="0"/>
  </r>
  <r>
    <x v="1"/>
    <x v="1"/>
    <n v="1.43"/>
    <n v="111"/>
    <n v="6.81"/>
    <n v="90"/>
    <d v="2023-03-21T16:30:00"/>
    <d v="2023-03-21T18:21:00"/>
    <d v="2023-03-21T16:25:00"/>
    <d v="2023-03-21T18:16:00"/>
    <x v="0"/>
    <x v="1"/>
    <x v="0"/>
    <x v="0"/>
  </r>
  <r>
    <x v="4"/>
    <x v="2"/>
    <n v="3.38"/>
    <n v="34"/>
    <n v="9"/>
    <n v="95"/>
    <d v="2023-03-21T16:40:00"/>
    <d v="2023-03-21T17:14:00"/>
    <d v="2023-03-21T16:36:00"/>
    <d v="2023-03-21T17:10:00"/>
    <x v="0"/>
    <x v="1"/>
    <x v="0"/>
    <x v="0"/>
  </r>
  <r>
    <x v="4"/>
    <x v="0"/>
    <n v="2.91"/>
    <n v="53"/>
    <n v="8.1199999999999992"/>
    <n v="84"/>
    <d v="2023-03-21T16:50:00"/>
    <d v="2023-03-21T17:43:00"/>
    <d v="2023-03-21T16:48:00"/>
    <d v="2023-03-21T17:41:00"/>
    <x v="0"/>
    <x v="1"/>
    <x v="0"/>
    <x v="0"/>
  </r>
  <r>
    <x v="0"/>
    <x v="2"/>
    <n v="3.23"/>
    <n v="100"/>
    <n v="9.2200000000000006"/>
    <n v="93"/>
    <d v="2023-03-21T17:00:00"/>
    <d v="2023-03-21T18:40:00"/>
    <d v="2023-03-21T17:27:00"/>
    <d v="2023-03-21T19:07:00"/>
    <x v="1"/>
    <x v="1"/>
    <x v="0"/>
    <x v="0"/>
  </r>
  <r>
    <x v="3"/>
    <x v="3"/>
    <n v="2.1"/>
    <n v="95"/>
    <n v="5.58"/>
    <n v="92"/>
    <d v="2023-03-21T17:10:00"/>
    <d v="2023-03-21T18:45:00"/>
    <d v="2023-03-21T17:15:00"/>
    <d v="2023-03-21T18:50:00"/>
    <x v="0"/>
    <x v="2"/>
    <x v="0"/>
    <x v="0"/>
  </r>
  <r>
    <x v="1"/>
    <x v="2"/>
    <n v="1.82"/>
    <n v="37"/>
    <n v="4.17"/>
    <n v="93"/>
    <d v="2023-03-21T17:20:00"/>
    <d v="2023-03-21T17:57:00"/>
    <d v="2023-03-21T17:22:00"/>
    <d v="2023-03-21T17:59:00"/>
    <x v="0"/>
    <x v="2"/>
    <x v="0"/>
    <x v="0"/>
  </r>
  <r>
    <x v="3"/>
    <x v="0"/>
    <n v="1.69"/>
    <n v="81"/>
    <n v="5.42"/>
    <n v="95"/>
    <d v="2023-03-21T17:30:00"/>
    <d v="2023-03-21T18:51:00"/>
    <d v="2023-03-21T17:31:00"/>
    <d v="2023-03-21T18:52:00"/>
    <x v="0"/>
    <x v="2"/>
    <x v="0"/>
    <x v="0"/>
  </r>
  <r>
    <x v="0"/>
    <x v="3"/>
    <n v="3.67"/>
    <n v="36"/>
    <n v="13.87"/>
    <n v="91"/>
    <d v="2023-03-21T17:40:00"/>
    <d v="2023-03-21T18:16:00"/>
    <d v="2023-03-21T17:40:00"/>
    <d v="2023-03-21T18:16:00"/>
    <x v="0"/>
    <x v="0"/>
    <x v="0"/>
    <x v="0"/>
  </r>
  <r>
    <x v="1"/>
    <x v="1"/>
    <n v="3.69"/>
    <n v="65"/>
    <n v="5.53"/>
    <n v="91"/>
    <d v="2023-03-21T17:50:00"/>
    <d v="2023-03-21T18:55:00"/>
    <d v="2023-03-21T17:52:00"/>
    <d v="2023-03-21T18:57:00"/>
    <x v="0"/>
    <x v="2"/>
    <x v="0"/>
    <x v="0"/>
  </r>
  <r>
    <x v="2"/>
    <x v="1"/>
    <n v="4.47"/>
    <n v="100"/>
    <n v="9.82"/>
    <n v="81"/>
    <d v="2023-03-21T18:00:00"/>
    <d v="2023-03-21T19:40:00"/>
    <d v="2023-03-21T18:04:00"/>
    <d v="2023-03-21T19:44:00"/>
    <x v="0"/>
    <x v="0"/>
    <x v="0"/>
    <x v="0"/>
  </r>
  <r>
    <x v="3"/>
    <x v="3"/>
    <n v="1.21"/>
    <n v="71"/>
    <n v="6.85"/>
    <n v="91"/>
    <d v="2023-03-21T18:10:00"/>
    <d v="2023-03-21T19:21:00"/>
    <d v="2023-03-21T18:33:00"/>
    <d v="2023-03-21T19:44:00"/>
    <x v="1"/>
    <x v="1"/>
    <x v="0"/>
    <x v="0"/>
  </r>
  <r>
    <x v="0"/>
    <x v="4"/>
    <n v="2.42"/>
    <n v="44"/>
    <n v="6.16"/>
    <n v="92"/>
    <d v="2023-03-21T18:20:00"/>
    <d v="2023-03-21T19:04:00"/>
    <d v="2023-03-21T18:20:00"/>
    <d v="2023-03-21T19:04:00"/>
    <x v="0"/>
    <x v="2"/>
    <x v="0"/>
    <x v="0"/>
  </r>
  <r>
    <x v="1"/>
    <x v="3"/>
    <n v="3.58"/>
    <n v="38"/>
    <n v="8.3699999999999992"/>
    <n v="81"/>
    <d v="2023-03-21T18:30:00"/>
    <d v="2023-03-21T19:08:00"/>
    <m/>
    <m/>
    <x v="2"/>
    <x v="1"/>
    <x v="1"/>
    <x v="1"/>
  </r>
  <r>
    <x v="0"/>
    <x v="4"/>
    <n v="4.9400000000000004"/>
    <n v="23"/>
    <n v="10.07"/>
    <n v="92"/>
    <d v="2023-03-21T18:40:00"/>
    <d v="2023-03-21T19:03:00"/>
    <d v="2023-03-21T18:41:00"/>
    <d v="2023-03-21T19:04:00"/>
    <x v="0"/>
    <x v="0"/>
    <x v="0"/>
    <x v="0"/>
  </r>
  <r>
    <x v="0"/>
    <x v="4"/>
    <n v="2.27"/>
    <n v="97"/>
    <n v="8.17"/>
    <n v="85"/>
    <d v="2023-03-21T18:50:00"/>
    <d v="2023-03-21T20:27:00"/>
    <d v="2023-03-21T18:53:00"/>
    <d v="2023-03-21T20:30:00"/>
    <x v="0"/>
    <x v="0"/>
    <x v="0"/>
    <x v="0"/>
  </r>
  <r>
    <x v="3"/>
    <x v="0"/>
    <n v="4.3"/>
    <n v="69"/>
    <n v="8.5500000000000007"/>
    <n v="88"/>
    <d v="2023-03-21T19:00:00"/>
    <d v="2023-03-21T20:09:00"/>
    <d v="2023-03-21T19:04:00"/>
    <d v="2023-03-21T20:13:00"/>
    <x v="0"/>
    <x v="0"/>
    <x v="0"/>
    <x v="0"/>
  </r>
  <r>
    <x v="4"/>
    <x v="1"/>
    <n v="1.39"/>
    <n v="48"/>
    <n v="9.0500000000000007"/>
    <n v="86"/>
    <d v="2023-03-21T19:10:00"/>
    <d v="2023-03-21T19:58:00"/>
    <m/>
    <m/>
    <x v="2"/>
    <x v="1"/>
    <x v="1"/>
    <x v="1"/>
  </r>
  <r>
    <x v="2"/>
    <x v="2"/>
    <n v="1.3"/>
    <n v="48"/>
    <n v="6.1"/>
    <n v="91"/>
    <d v="2023-03-21T19:20:00"/>
    <d v="2023-03-21T20:08:00"/>
    <d v="2023-03-21T19:20:00"/>
    <d v="2023-03-21T20:08:00"/>
    <x v="0"/>
    <x v="2"/>
    <x v="0"/>
    <x v="0"/>
  </r>
  <r>
    <x v="3"/>
    <x v="3"/>
    <n v="3.91"/>
    <n v="91"/>
    <n v="10.83"/>
    <n v="92"/>
    <d v="2023-03-21T19:30:00"/>
    <d v="2023-03-21T21:01:00"/>
    <d v="2023-03-21T19:51:00"/>
    <d v="2023-03-21T21:22:00"/>
    <x v="1"/>
    <x v="1"/>
    <x v="0"/>
    <x v="0"/>
  </r>
  <r>
    <x v="0"/>
    <x v="1"/>
    <n v="1.76"/>
    <n v="90"/>
    <n v="14.29"/>
    <n v="83"/>
    <d v="2023-03-21T19:40:00"/>
    <d v="2023-03-21T21:10:00"/>
    <d v="2023-03-21T19:39:00"/>
    <d v="2023-03-21T21:09:00"/>
    <x v="0"/>
    <x v="1"/>
    <x v="0"/>
    <x v="0"/>
  </r>
  <r>
    <x v="0"/>
    <x v="2"/>
    <n v="2.2200000000000002"/>
    <n v="81"/>
    <n v="13.88"/>
    <n v="89"/>
    <d v="2023-03-21T19:50:00"/>
    <d v="2023-03-21T21:11:00"/>
    <d v="2023-03-21T20:06:00"/>
    <d v="2023-03-21T21:27:00"/>
    <x v="1"/>
    <x v="1"/>
    <x v="0"/>
    <x v="0"/>
  </r>
  <r>
    <x v="2"/>
    <x v="3"/>
    <n v="1.28"/>
    <n v="74"/>
    <n v="13.58"/>
    <n v="90"/>
    <d v="2023-03-21T20:00:00"/>
    <d v="2023-03-21T21:14:00"/>
    <d v="2023-03-21T19:55:00"/>
    <d v="2023-03-21T21:09:00"/>
    <x v="0"/>
    <x v="1"/>
    <x v="0"/>
    <x v="0"/>
  </r>
  <r>
    <x v="3"/>
    <x v="3"/>
    <n v="3.94"/>
    <n v="117"/>
    <n v="8.99"/>
    <n v="82"/>
    <d v="2023-03-21T20:10:00"/>
    <d v="2023-03-21T22:07:00"/>
    <d v="2023-03-21T20:08:00"/>
    <d v="2023-03-21T22:05:00"/>
    <x v="0"/>
    <x v="1"/>
    <x v="0"/>
    <x v="0"/>
  </r>
  <r>
    <x v="0"/>
    <x v="4"/>
    <n v="1.45"/>
    <n v="22"/>
    <n v="14.51"/>
    <n v="80"/>
    <d v="2023-03-21T20:20:00"/>
    <d v="2023-03-21T20:42:00"/>
    <d v="2023-03-21T20:32:00"/>
    <d v="2023-03-21T20:54:00"/>
    <x v="1"/>
    <x v="1"/>
    <x v="0"/>
    <x v="0"/>
  </r>
  <r>
    <x v="1"/>
    <x v="0"/>
    <n v="2.59"/>
    <n v="77"/>
    <n v="6.72"/>
    <n v="81"/>
    <d v="2023-03-21T20:30:00"/>
    <d v="2023-03-21T21:47:00"/>
    <d v="2023-03-21T20:58:00"/>
    <d v="2023-03-21T22:15:00"/>
    <x v="1"/>
    <x v="1"/>
    <x v="0"/>
    <x v="0"/>
  </r>
  <r>
    <x v="4"/>
    <x v="3"/>
    <n v="3.39"/>
    <n v="103"/>
    <n v="9.1300000000000008"/>
    <n v="86"/>
    <d v="2023-03-21T20:40:00"/>
    <d v="2023-03-21T22:23:00"/>
    <d v="2023-03-21T20:40:00"/>
    <d v="2023-03-21T22:23:00"/>
    <x v="0"/>
    <x v="2"/>
    <x v="0"/>
    <x v="0"/>
  </r>
  <r>
    <x v="0"/>
    <x v="4"/>
    <n v="4.26"/>
    <n v="61"/>
    <n v="14.14"/>
    <n v="89"/>
    <d v="2023-03-21T20:50:00"/>
    <d v="2023-03-21T21:51:00"/>
    <m/>
    <m/>
    <x v="2"/>
    <x v="1"/>
    <x v="1"/>
    <x v="1"/>
  </r>
  <r>
    <x v="2"/>
    <x v="0"/>
    <n v="1.93"/>
    <n v="74"/>
    <n v="9.07"/>
    <n v="84"/>
    <d v="2023-03-21T21:00:00"/>
    <d v="2023-03-21T22:14:00"/>
    <d v="2023-03-21T20:59:00"/>
    <d v="2023-03-21T22:13:00"/>
    <x v="0"/>
    <x v="1"/>
    <x v="0"/>
    <x v="0"/>
  </r>
  <r>
    <x v="3"/>
    <x v="1"/>
    <n v="4.9000000000000004"/>
    <n v="98"/>
    <n v="4.2699999999999996"/>
    <n v="90"/>
    <d v="2023-03-21T21:10:00"/>
    <d v="2023-03-21T22:48:00"/>
    <d v="2023-03-21T21:05:00"/>
    <d v="2023-03-21T22:43:00"/>
    <x v="0"/>
    <x v="1"/>
    <x v="0"/>
    <x v="0"/>
  </r>
  <r>
    <x v="4"/>
    <x v="2"/>
    <n v="2.5499999999999998"/>
    <n v="72"/>
    <n v="14.65"/>
    <n v="95"/>
    <d v="2023-03-21T21:20:00"/>
    <d v="2023-03-21T22:32:00"/>
    <m/>
    <m/>
    <x v="2"/>
    <x v="1"/>
    <x v="1"/>
    <x v="1"/>
  </r>
  <r>
    <x v="0"/>
    <x v="0"/>
    <n v="1.84"/>
    <n v="116"/>
    <n v="9.83"/>
    <n v="87"/>
    <d v="2023-03-21T21:30:00"/>
    <d v="2023-03-21T23:26:00"/>
    <m/>
    <m/>
    <x v="2"/>
    <x v="1"/>
    <x v="1"/>
    <x v="1"/>
  </r>
  <r>
    <x v="4"/>
    <x v="2"/>
    <n v="1.54"/>
    <n v="40"/>
    <n v="4.16"/>
    <n v="88"/>
    <d v="2023-03-21T21:40:00"/>
    <d v="2023-03-21T22:20:00"/>
    <d v="2023-03-21T22:07:00"/>
    <d v="2023-03-21T22:47:00"/>
    <x v="1"/>
    <x v="1"/>
    <x v="0"/>
    <x v="0"/>
  </r>
  <r>
    <x v="0"/>
    <x v="4"/>
    <n v="4.83"/>
    <n v="50"/>
    <n v="4.7699999999999996"/>
    <n v="90"/>
    <d v="2023-03-21T21:50:00"/>
    <d v="2023-03-21T22:40:00"/>
    <m/>
    <m/>
    <x v="2"/>
    <x v="1"/>
    <x v="1"/>
    <x v="1"/>
  </r>
  <r>
    <x v="1"/>
    <x v="2"/>
    <n v="4.6399999999999997"/>
    <n v="66"/>
    <n v="14.84"/>
    <n v="84"/>
    <d v="2023-03-21T22:00:00"/>
    <d v="2023-03-21T23:06:00"/>
    <d v="2023-03-21T21:59:00"/>
    <d v="2023-03-21T23:05:00"/>
    <x v="0"/>
    <x v="1"/>
    <x v="0"/>
    <x v="0"/>
  </r>
  <r>
    <x v="3"/>
    <x v="2"/>
    <n v="2.64"/>
    <n v="61"/>
    <n v="4.09"/>
    <n v="87"/>
    <d v="2023-03-21T22:10:00"/>
    <d v="2023-03-21T23:11:00"/>
    <d v="2023-03-21T22:07:00"/>
    <d v="2023-03-21T23:08:00"/>
    <x v="0"/>
    <x v="1"/>
    <x v="0"/>
    <x v="0"/>
  </r>
  <r>
    <x v="2"/>
    <x v="4"/>
    <n v="3.6"/>
    <n v="96"/>
    <n v="14.32"/>
    <n v="89"/>
    <d v="2023-03-21T22:20:00"/>
    <d v="2023-03-21T23:56:00"/>
    <d v="2023-03-21T22:22:00"/>
    <d v="2023-03-21T23:58:00"/>
    <x v="0"/>
    <x v="0"/>
    <x v="0"/>
    <x v="0"/>
  </r>
  <r>
    <x v="1"/>
    <x v="1"/>
    <n v="3.26"/>
    <n v="34"/>
    <n v="6.56"/>
    <n v="94"/>
    <d v="2023-03-21T22:30:00"/>
    <d v="2023-03-21T23:04:00"/>
    <m/>
    <m/>
    <x v="2"/>
    <x v="1"/>
    <x v="1"/>
    <x v="1"/>
  </r>
  <r>
    <x v="3"/>
    <x v="3"/>
    <n v="4.8099999999999996"/>
    <n v="62"/>
    <n v="14.46"/>
    <n v="80"/>
    <d v="2023-03-21T22:40:00"/>
    <d v="2023-03-21T23:42:00"/>
    <d v="2023-03-21T22:35:00"/>
    <d v="2023-03-21T23:37:00"/>
    <x v="0"/>
    <x v="1"/>
    <x v="0"/>
    <x v="0"/>
  </r>
  <r>
    <x v="1"/>
    <x v="2"/>
    <n v="2.81"/>
    <n v="24"/>
    <n v="11.99"/>
    <n v="82"/>
    <d v="2023-03-21T22:50:00"/>
    <d v="2023-03-21T23:14:00"/>
    <d v="2023-03-21T23:17:00"/>
    <d v="2023-03-21T23:41:00"/>
    <x v="1"/>
    <x v="1"/>
    <x v="0"/>
    <x v="0"/>
  </r>
  <r>
    <x v="2"/>
    <x v="1"/>
    <n v="1.32"/>
    <n v="52"/>
    <n v="6.94"/>
    <n v="90"/>
    <d v="2023-03-21T23:00:00"/>
    <d v="2023-03-21T23:52:00"/>
    <d v="2023-03-21T23:02:00"/>
    <d v="2023-03-21T23:54:00"/>
    <x v="0"/>
    <x v="2"/>
    <x v="0"/>
    <x v="0"/>
  </r>
  <r>
    <x v="4"/>
    <x v="1"/>
    <n v="3.18"/>
    <n v="62"/>
    <n v="10.68"/>
    <n v="96"/>
    <d v="2023-03-21T23:10:00"/>
    <d v="2023-03-22T00:12:00"/>
    <d v="2023-03-21T23:14:00"/>
    <d v="2023-03-22T00:16:00"/>
    <x v="0"/>
    <x v="0"/>
    <x v="0"/>
    <x v="0"/>
  </r>
  <r>
    <x v="0"/>
    <x v="3"/>
    <n v="2.66"/>
    <n v="92"/>
    <n v="10.02"/>
    <n v="88"/>
    <d v="2023-03-21T23:20:00"/>
    <d v="2023-03-22T00:52:00"/>
    <d v="2023-03-21T23:21:00"/>
    <d v="2023-03-22T00:53:00"/>
    <x v="0"/>
    <x v="0"/>
    <x v="0"/>
    <x v="0"/>
  </r>
  <r>
    <x v="2"/>
    <x v="0"/>
    <n v="3.61"/>
    <n v="76"/>
    <n v="9.64"/>
    <n v="96"/>
    <d v="2023-03-21T23:30:00"/>
    <d v="2023-03-22T00:46:00"/>
    <d v="2023-03-21T23:25:00"/>
    <d v="2023-03-22T00:41:00"/>
    <x v="0"/>
    <x v="1"/>
    <x v="0"/>
    <x v="0"/>
  </r>
  <r>
    <x v="0"/>
    <x v="3"/>
    <n v="1.08"/>
    <n v="67"/>
    <n v="3.15"/>
    <n v="91"/>
    <d v="2023-03-21T23:40:00"/>
    <d v="2023-03-22T00:47:00"/>
    <d v="2023-03-21T23:39:00"/>
    <d v="2023-03-22T00:46:00"/>
    <x v="0"/>
    <x v="1"/>
    <x v="0"/>
    <x v="0"/>
  </r>
  <r>
    <x v="4"/>
    <x v="0"/>
    <n v="3.58"/>
    <n v="28"/>
    <n v="7.02"/>
    <n v="88"/>
    <d v="2023-03-21T23:50:00"/>
    <d v="2023-03-22T00:18:00"/>
    <m/>
    <m/>
    <x v="2"/>
    <x v="1"/>
    <x v="1"/>
    <x v="1"/>
  </r>
  <r>
    <x v="1"/>
    <x v="4"/>
    <n v="4.91"/>
    <n v="102"/>
    <n v="9.4700000000000006"/>
    <n v="88"/>
    <d v="2023-03-22T00:00:00"/>
    <d v="2023-03-22T01:42:00"/>
    <m/>
    <m/>
    <x v="2"/>
    <x v="1"/>
    <x v="1"/>
    <x v="1"/>
  </r>
  <r>
    <x v="1"/>
    <x v="3"/>
    <n v="1.4"/>
    <n v="87"/>
    <n v="9.93"/>
    <n v="87"/>
    <d v="2023-03-22T00:10:00"/>
    <d v="2023-03-22T01:37:00"/>
    <d v="2023-03-22T00:40:00"/>
    <d v="2023-03-22T02:07:00"/>
    <x v="1"/>
    <x v="1"/>
    <x v="0"/>
    <x v="0"/>
  </r>
  <r>
    <x v="0"/>
    <x v="0"/>
    <n v="1.21"/>
    <n v="90"/>
    <n v="8.86"/>
    <n v="95"/>
    <d v="2023-03-22T00:20:00"/>
    <d v="2023-03-22T01:50:00"/>
    <d v="2023-03-22T00:15:00"/>
    <d v="2023-03-22T01:45:00"/>
    <x v="0"/>
    <x v="1"/>
    <x v="0"/>
    <x v="0"/>
  </r>
  <r>
    <x v="4"/>
    <x v="1"/>
    <n v="4.5"/>
    <n v="106"/>
    <n v="4.7300000000000004"/>
    <n v="84"/>
    <d v="2023-03-22T00:30:00"/>
    <d v="2023-03-22T02:16:00"/>
    <d v="2023-03-22T00:34:00"/>
    <d v="2023-03-22T02:20:00"/>
    <x v="0"/>
    <x v="2"/>
    <x v="0"/>
    <x v="0"/>
  </r>
  <r>
    <x v="0"/>
    <x v="4"/>
    <n v="1.54"/>
    <n v="112"/>
    <n v="6.86"/>
    <n v="93"/>
    <d v="2023-03-22T00:40:00"/>
    <d v="2023-03-22T02:32:00"/>
    <d v="2023-03-22T00:44:00"/>
    <d v="2023-03-22T02:36:00"/>
    <x v="0"/>
    <x v="2"/>
    <x v="0"/>
    <x v="0"/>
  </r>
  <r>
    <x v="2"/>
    <x v="2"/>
    <n v="3.14"/>
    <n v="61"/>
    <n v="3.66"/>
    <n v="88"/>
    <d v="2023-03-22T00:50:00"/>
    <d v="2023-03-22T01:51:00"/>
    <d v="2023-03-22T00:51:00"/>
    <d v="2023-03-22T01:52:00"/>
    <x v="0"/>
    <x v="2"/>
    <x v="0"/>
    <x v="0"/>
  </r>
  <r>
    <x v="2"/>
    <x v="4"/>
    <n v="4.9000000000000004"/>
    <n v="45"/>
    <n v="6.96"/>
    <n v="90"/>
    <d v="2023-03-22T01:00:00"/>
    <d v="2023-03-22T01:45:00"/>
    <d v="2023-03-22T00:56:00"/>
    <d v="2023-03-22T01:41:00"/>
    <x v="0"/>
    <x v="1"/>
    <x v="0"/>
    <x v="0"/>
  </r>
  <r>
    <x v="0"/>
    <x v="0"/>
    <n v="2.3199999999999998"/>
    <n v="100"/>
    <n v="6.97"/>
    <n v="81"/>
    <d v="2023-03-22T01:10:00"/>
    <d v="2023-03-22T02:50:00"/>
    <d v="2023-03-22T01:05:00"/>
    <d v="2023-03-22T02:45:00"/>
    <x v="0"/>
    <x v="1"/>
    <x v="0"/>
    <x v="0"/>
  </r>
  <r>
    <x v="2"/>
    <x v="2"/>
    <n v="3.05"/>
    <n v="48"/>
    <n v="13.96"/>
    <n v="90"/>
    <d v="2023-03-22T01:20:00"/>
    <d v="2023-03-22T02:08:00"/>
    <d v="2023-03-22T01:15:00"/>
    <d v="2023-03-22T02:03:00"/>
    <x v="0"/>
    <x v="1"/>
    <x v="0"/>
    <x v="0"/>
  </r>
  <r>
    <x v="0"/>
    <x v="2"/>
    <n v="1.1200000000000001"/>
    <n v="75"/>
    <n v="2.16"/>
    <n v="86"/>
    <d v="2023-03-22T01:30:00"/>
    <d v="2023-03-22T02:45:00"/>
    <d v="2023-03-22T01:34:00"/>
    <d v="2023-03-22T02:49:00"/>
    <x v="0"/>
    <x v="2"/>
    <x v="0"/>
    <x v="0"/>
  </r>
  <r>
    <x v="0"/>
    <x v="4"/>
    <n v="2.94"/>
    <n v="116"/>
    <n v="10.59"/>
    <n v="96"/>
    <d v="2023-03-22T01:40:00"/>
    <d v="2023-03-22T03:36:00"/>
    <d v="2023-03-22T01:41:00"/>
    <d v="2023-03-22T03:37:00"/>
    <x v="0"/>
    <x v="0"/>
    <x v="0"/>
    <x v="0"/>
  </r>
  <r>
    <x v="3"/>
    <x v="2"/>
    <n v="3.88"/>
    <n v="60"/>
    <n v="3.62"/>
    <n v="95"/>
    <d v="2023-03-22T01:50:00"/>
    <d v="2023-03-22T02:50:00"/>
    <d v="2023-03-22T01:55:00"/>
    <d v="2023-03-22T02:55:00"/>
    <x v="0"/>
    <x v="2"/>
    <x v="0"/>
    <x v="0"/>
  </r>
  <r>
    <x v="0"/>
    <x v="1"/>
    <n v="1.81"/>
    <n v="53"/>
    <n v="4.45"/>
    <n v="85"/>
    <d v="2023-03-22T02:00:00"/>
    <d v="2023-03-22T02:53:00"/>
    <d v="2023-03-22T02:03:00"/>
    <d v="2023-03-22T02:56:00"/>
    <x v="0"/>
    <x v="2"/>
    <x v="0"/>
    <x v="0"/>
  </r>
  <r>
    <x v="4"/>
    <x v="4"/>
    <n v="3.57"/>
    <n v="47"/>
    <n v="13.17"/>
    <n v="89"/>
    <d v="2023-03-22T02:10:00"/>
    <d v="2023-03-22T02:57:00"/>
    <d v="2023-03-22T02:12:00"/>
    <d v="2023-03-22T02:59:00"/>
    <x v="0"/>
    <x v="0"/>
    <x v="0"/>
    <x v="0"/>
  </r>
  <r>
    <x v="3"/>
    <x v="2"/>
    <n v="2.12"/>
    <n v="87"/>
    <n v="3.37"/>
    <n v="89"/>
    <d v="2023-03-22T02:20:00"/>
    <d v="2023-03-22T03:47:00"/>
    <d v="2023-03-22T02:24:00"/>
    <d v="2023-03-22T03:51:00"/>
    <x v="0"/>
    <x v="2"/>
    <x v="0"/>
    <x v="0"/>
  </r>
  <r>
    <x v="2"/>
    <x v="2"/>
    <n v="1.3"/>
    <n v="89"/>
    <n v="5.76"/>
    <n v="89"/>
    <d v="2023-03-22T02:30:00"/>
    <d v="2023-03-22T03:59:00"/>
    <d v="2023-03-22T02:31:00"/>
    <d v="2023-03-22T04:00:00"/>
    <x v="0"/>
    <x v="2"/>
    <x v="0"/>
    <x v="0"/>
  </r>
  <r>
    <x v="3"/>
    <x v="2"/>
    <n v="4.1900000000000004"/>
    <n v="50"/>
    <n v="6.67"/>
    <n v="89"/>
    <d v="2023-03-22T02:40:00"/>
    <d v="2023-03-22T03:30:00"/>
    <d v="2023-03-22T02:39:00"/>
    <d v="2023-03-22T03:29:00"/>
    <x v="0"/>
    <x v="1"/>
    <x v="0"/>
    <x v="0"/>
  </r>
  <r>
    <x v="1"/>
    <x v="2"/>
    <n v="2.77"/>
    <n v="95"/>
    <n v="7.55"/>
    <n v="81"/>
    <d v="2023-03-22T02:50:00"/>
    <d v="2023-03-22T04:25:00"/>
    <d v="2023-03-22T02:55:00"/>
    <d v="2023-03-22T04:30:00"/>
    <x v="0"/>
    <x v="0"/>
    <x v="0"/>
    <x v="0"/>
  </r>
  <r>
    <x v="1"/>
    <x v="2"/>
    <n v="2.75"/>
    <n v="100"/>
    <n v="6.39"/>
    <n v="91"/>
    <d v="2023-03-22T03:00:00"/>
    <d v="2023-03-22T04:40:00"/>
    <d v="2023-03-22T03:02:00"/>
    <d v="2023-03-22T04:42:00"/>
    <x v="0"/>
    <x v="2"/>
    <x v="0"/>
    <x v="0"/>
  </r>
  <r>
    <x v="1"/>
    <x v="1"/>
    <n v="2.81"/>
    <n v="21"/>
    <n v="5.14"/>
    <n v="91"/>
    <d v="2023-03-22T03:10:00"/>
    <d v="2023-03-22T03:31:00"/>
    <d v="2023-03-22T03:10:00"/>
    <d v="2023-03-22T03:31:00"/>
    <x v="0"/>
    <x v="2"/>
    <x v="0"/>
    <x v="0"/>
  </r>
  <r>
    <x v="1"/>
    <x v="1"/>
    <n v="1.61"/>
    <n v="61"/>
    <n v="14.7"/>
    <n v="88"/>
    <d v="2023-03-22T03:20:00"/>
    <d v="2023-03-22T04:21:00"/>
    <d v="2023-03-22T03:15:00"/>
    <d v="2023-03-22T04:16:00"/>
    <x v="0"/>
    <x v="1"/>
    <x v="0"/>
    <x v="0"/>
  </r>
  <r>
    <x v="2"/>
    <x v="2"/>
    <n v="2.98"/>
    <n v="31"/>
    <n v="6.28"/>
    <n v="92"/>
    <d v="2023-03-22T03:30:00"/>
    <d v="2023-03-22T04:01:00"/>
    <d v="2023-03-22T03:35:00"/>
    <d v="2023-03-22T04:06:00"/>
    <x v="0"/>
    <x v="2"/>
    <x v="0"/>
    <x v="0"/>
  </r>
  <r>
    <x v="0"/>
    <x v="4"/>
    <n v="3.36"/>
    <n v="85"/>
    <n v="5.05"/>
    <n v="92"/>
    <d v="2023-03-22T03:40:00"/>
    <d v="2023-03-22T05:05:00"/>
    <d v="2023-03-22T03:39:00"/>
    <d v="2023-03-22T05:04:00"/>
    <x v="0"/>
    <x v="1"/>
    <x v="0"/>
    <x v="0"/>
  </r>
  <r>
    <x v="0"/>
    <x v="1"/>
    <n v="4.76"/>
    <n v="68"/>
    <n v="11.58"/>
    <n v="86"/>
    <d v="2023-03-22T03:50:00"/>
    <d v="2023-03-22T04:58:00"/>
    <d v="2023-03-22T03:53:00"/>
    <d v="2023-03-22T05:01:00"/>
    <x v="0"/>
    <x v="0"/>
    <x v="0"/>
    <x v="0"/>
  </r>
  <r>
    <x v="4"/>
    <x v="2"/>
    <n v="3.11"/>
    <n v="63"/>
    <n v="12.39"/>
    <n v="83"/>
    <d v="2023-03-22T04:00:00"/>
    <d v="2023-03-22T05:03:00"/>
    <d v="2023-03-22T04:00:00"/>
    <d v="2023-03-22T05:03:00"/>
    <x v="0"/>
    <x v="0"/>
    <x v="0"/>
    <x v="0"/>
  </r>
  <r>
    <x v="1"/>
    <x v="3"/>
    <n v="1.42"/>
    <n v="93"/>
    <n v="6.97"/>
    <n v="96"/>
    <d v="2023-03-22T04:10:00"/>
    <d v="2023-03-22T05:43:00"/>
    <d v="2023-03-22T04:12:00"/>
    <d v="2023-03-22T05:45:00"/>
    <x v="0"/>
    <x v="2"/>
    <x v="0"/>
    <x v="0"/>
  </r>
  <r>
    <x v="2"/>
    <x v="1"/>
    <n v="1.61"/>
    <n v="37"/>
    <n v="12.3"/>
    <n v="95"/>
    <d v="2023-03-22T04:20:00"/>
    <d v="2023-03-22T04:57:00"/>
    <d v="2023-03-22T04:30:00"/>
    <d v="2023-03-22T05:07:00"/>
    <x v="1"/>
    <x v="1"/>
    <x v="0"/>
    <x v="0"/>
  </r>
  <r>
    <x v="3"/>
    <x v="1"/>
    <n v="3.93"/>
    <n v="36"/>
    <n v="5.37"/>
    <n v="98"/>
    <d v="2023-03-22T04:30:00"/>
    <d v="2023-03-22T05:06:00"/>
    <m/>
    <m/>
    <x v="2"/>
    <x v="1"/>
    <x v="1"/>
    <x v="1"/>
  </r>
  <r>
    <x v="1"/>
    <x v="4"/>
    <n v="3.61"/>
    <n v="44"/>
    <n v="4.66"/>
    <n v="98"/>
    <d v="2023-03-22T04:40:00"/>
    <d v="2023-03-22T05:24:00"/>
    <d v="2023-03-22T04:40:00"/>
    <d v="2023-03-22T05:24:00"/>
    <x v="0"/>
    <x v="2"/>
    <x v="0"/>
    <x v="0"/>
  </r>
  <r>
    <x v="4"/>
    <x v="4"/>
    <n v="4.07"/>
    <n v="56"/>
    <n v="8.89"/>
    <n v="87"/>
    <d v="2023-03-22T04:50:00"/>
    <d v="2023-03-22T05:46:00"/>
    <d v="2023-03-22T04:54:00"/>
    <d v="2023-03-22T05:50:00"/>
    <x v="0"/>
    <x v="0"/>
    <x v="0"/>
    <x v="0"/>
  </r>
  <r>
    <x v="2"/>
    <x v="2"/>
    <n v="1.78"/>
    <n v="114"/>
    <n v="9.67"/>
    <n v="88"/>
    <d v="2023-03-22T05:00:00"/>
    <d v="2023-03-22T06:54:00"/>
    <d v="2023-03-22T05:01:00"/>
    <d v="2023-03-22T06:55:00"/>
    <x v="0"/>
    <x v="0"/>
    <x v="0"/>
    <x v="0"/>
  </r>
  <r>
    <x v="0"/>
    <x v="0"/>
    <n v="2.66"/>
    <n v="79"/>
    <n v="12.1"/>
    <n v="82"/>
    <d v="2023-03-22T05:10:00"/>
    <d v="2023-03-22T06:29:00"/>
    <d v="2023-03-22T05:30:00"/>
    <d v="2023-03-22T06:49:00"/>
    <x v="1"/>
    <x v="1"/>
    <x v="0"/>
    <x v="0"/>
  </r>
  <r>
    <x v="1"/>
    <x v="3"/>
    <n v="1.65"/>
    <n v="44"/>
    <n v="8.3000000000000007"/>
    <n v="88"/>
    <d v="2023-03-22T05:20:00"/>
    <d v="2023-03-22T06:04:00"/>
    <d v="2023-03-22T05:23:00"/>
    <d v="2023-03-22T06:07:00"/>
    <x v="0"/>
    <x v="0"/>
    <x v="0"/>
    <x v="0"/>
  </r>
  <r>
    <x v="3"/>
    <x v="2"/>
    <n v="3.38"/>
    <n v="108"/>
    <n v="10.49"/>
    <n v="91"/>
    <d v="2023-03-22T05:30:00"/>
    <d v="2023-03-22T07:18:00"/>
    <d v="2023-03-22T05:31:00"/>
    <d v="2023-03-22T07:19:00"/>
    <x v="0"/>
    <x v="0"/>
    <x v="0"/>
    <x v="0"/>
  </r>
  <r>
    <x v="3"/>
    <x v="3"/>
    <n v="1.36"/>
    <n v="80"/>
    <n v="7.48"/>
    <n v="81"/>
    <d v="2023-03-22T05:40:00"/>
    <d v="2023-03-22T07:00:00"/>
    <d v="2023-03-22T05:44:00"/>
    <d v="2023-03-22T07:04:00"/>
    <x v="0"/>
    <x v="0"/>
    <x v="0"/>
    <x v="0"/>
  </r>
  <r>
    <x v="2"/>
    <x v="0"/>
    <n v="2.72"/>
    <n v="112"/>
    <n v="12.39"/>
    <n v="85"/>
    <d v="2023-03-22T05:50:00"/>
    <d v="2023-03-22T07:42:00"/>
    <d v="2023-03-22T05:46:00"/>
    <d v="2023-03-22T07:38:00"/>
    <x v="0"/>
    <x v="1"/>
    <x v="0"/>
    <x v="0"/>
  </r>
  <r>
    <x v="3"/>
    <x v="3"/>
    <n v="3.16"/>
    <n v="110"/>
    <n v="13.71"/>
    <n v="95"/>
    <d v="2023-03-22T06:00:00"/>
    <d v="2023-03-22T07:50:00"/>
    <d v="2023-03-22T06:05:00"/>
    <d v="2023-03-22T07:55:00"/>
    <x v="0"/>
    <x v="0"/>
    <x v="0"/>
    <x v="0"/>
  </r>
  <r>
    <x v="2"/>
    <x v="0"/>
    <n v="2.91"/>
    <n v="108"/>
    <n v="6.09"/>
    <n v="84"/>
    <d v="2023-03-22T06:10:00"/>
    <d v="2023-03-22T07:58:00"/>
    <d v="2023-03-22T06:13:00"/>
    <d v="2023-03-22T08:01:00"/>
    <x v="0"/>
    <x v="2"/>
    <x v="0"/>
    <x v="0"/>
  </r>
  <r>
    <x v="0"/>
    <x v="3"/>
    <n v="3.42"/>
    <n v="88"/>
    <n v="7.35"/>
    <n v="97"/>
    <d v="2023-03-22T06:20:00"/>
    <d v="2023-03-22T07:48:00"/>
    <d v="2023-03-22T06:23:00"/>
    <d v="2023-03-22T07:51:00"/>
    <x v="0"/>
    <x v="2"/>
    <x v="0"/>
    <x v="0"/>
  </r>
  <r>
    <x v="4"/>
    <x v="0"/>
    <n v="2.7"/>
    <n v="74"/>
    <n v="2.4700000000000002"/>
    <n v="95"/>
    <d v="2023-03-22T06:30:00"/>
    <d v="2023-03-22T07:44:00"/>
    <d v="2023-03-22T07:00:00"/>
    <d v="2023-03-22T08:14:00"/>
    <x v="1"/>
    <x v="1"/>
    <x v="0"/>
    <x v="0"/>
  </r>
  <r>
    <x v="2"/>
    <x v="0"/>
    <n v="3.08"/>
    <n v="52"/>
    <n v="10.42"/>
    <n v="96"/>
    <d v="2023-03-22T06:40:00"/>
    <d v="2023-03-22T07:32:00"/>
    <d v="2023-03-22T06:39:00"/>
    <d v="2023-03-22T07:31:00"/>
    <x v="0"/>
    <x v="1"/>
    <x v="0"/>
    <x v="0"/>
  </r>
  <r>
    <x v="4"/>
    <x v="0"/>
    <n v="3.17"/>
    <n v="67"/>
    <n v="13.2"/>
    <n v="91"/>
    <d v="2023-03-22T06:50:00"/>
    <d v="2023-03-22T07:57:00"/>
    <d v="2023-03-22T06:48:00"/>
    <d v="2023-03-22T07:55:00"/>
    <x v="0"/>
    <x v="1"/>
    <x v="0"/>
    <x v="0"/>
  </r>
  <r>
    <x v="4"/>
    <x v="4"/>
    <n v="4.71"/>
    <n v="85"/>
    <n v="8.3699999999999992"/>
    <n v="97"/>
    <d v="2023-03-22T07:00:00"/>
    <d v="2023-03-22T08:25:00"/>
    <m/>
    <m/>
    <x v="2"/>
    <x v="1"/>
    <x v="1"/>
    <x v="1"/>
  </r>
  <r>
    <x v="1"/>
    <x v="1"/>
    <n v="1.44"/>
    <n v="90"/>
    <n v="11.44"/>
    <n v="94"/>
    <d v="2023-03-22T07:10:00"/>
    <d v="2023-03-22T08:40:00"/>
    <d v="2023-03-22T07:12:00"/>
    <d v="2023-03-22T08:42:00"/>
    <x v="0"/>
    <x v="0"/>
    <x v="0"/>
    <x v="0"/>
  </r>
  <r>
    <x v="4"/>
    <x v="2"/>
    <n v="1.02"/>
    <n v="70"/>
    <n v="6.78"/>
    <n v="86"/>
    <d v="2023-03-22T07:20:00"/>
    <d v="2023-03-22T08:30:00"/>
    <m/>
    <m/>
    <x v="2"/>
    <x v="1"/>
    <x v="1"/>
    <x v="1"/>
  </r>
  <r>
    <x v="2"/>
    <x v="3"/>
    <n v="2.31"/>
    <n v="23"/>
    <n v="5.63"/>
    <n v="98"/>
    <d v="2023-03-22T07:30:00"/>
    <d v="2023-03-22T07:53:00"/>
    <d v="2023-03-22T07:29:00"/>
    <d v="2023-03-22T07:52:00"/>
    <x v="0"/>
    <x v="1"/>
    <x v="0"/>
    <x v="0"/>
  </r>
  <r>
    <x v="3"/>
    <x v="1"/>
    <n v="1.99"/>
    <n v="120"/>
    <n v="2.21"/>
    <n v="93"/>
    <d v="2023-03-22T07:40:00"/>
    <d v="2023-03-22T09:40:00"/>
    <d v="2023-03-22T08:06:00"/>
    <d v="2023-03-22T10:06:00"/>
    <x v="1"/>
    <x v="1"/>
    <x v="0"/>
    <x v="0"/>
  </r>
  <r>
    <x v="4"/>
    <x v="2"/>
    <n v="2.29"/>
    <n v="65"/>
    <n v="3.67"/>
    <n v="87"/>
    <d v="2023-03-22T07:50:00"/>
    <d v="2023-03-22T08:55:00"/>
    <d v="2023-03-22T07:52:00"/>
    <d v="2023-03-22T08:57:00"/>
    <x v="0"/>
    <x v="2"/>
    <x v="0"/>
    <x v="0"/>
  </r>
  <r>
    <x v="1"/>
    <x v="4"/>
    <n v="3.71"/>
    <n v="99"/>
    <n v="5.13"/>
    <n v="90"/>
    <d v="2023-03-22T08:00:00"/>
    <d v="2023-03-22T09:39:00"/>
    <d v="2023-03-22T08:20:00"/>
    <d v="2023-03-22T09:59:00"/>
    <x v="1"/>
    <x v="1"/>
    <x v="0"/>
    <x v="0"/>
  </r>
  <r>
    <x v="4"/>
    <x v="2"/>
    <n v="2.88"/>
    <n v="84"/>
    <n v="4.29"/>
    <n v="90"/>
    <d v="2023-03-22T08:10:00"/>
    <d v="2023-03-22T09:34:00"/>
    <d v="2023-03-22T08:05:00"/>
    <d v="2023-03-22T09:29:00"/>
    <x v="0"/>
    <x v="1"/>
    <x v="0"/>
    <x v="0"/>
  </r>
  <r>
    <x v="4"/>
    <x v="4"/>
    <n v="3.36"/>
    <n v="94"/>
    <n v="13.75"/>
    <n v="86"/>
    <d v="2023-03-22T08:20:00"/>
    <d v="2023-03-22T09:54:00"/>
    <d v="2023-03-22T08:22:00"/>
    <d v="2023-03-22T09:56:00"/>
    <x v="0"/>
    <x v="0"/>
    <x v="0"/>
    <x v="0"/>
  </r>
  <r>
    <x v="1"/>
    <x v="3"/>
    <n v="3.96"/>
    <n v="28"/>
    <n v="9.1300000000000008"/>
    <n v="86"/>
    <d v="2023-03-22T08:30:00"/>
    <d v="2023-03-22T08:58:00"/>
    <d v="2023-03-22T08:27:00"/>
    <d v="2023-03-22T08:55:00"/>
    <x v="0"/>
    <x v="1"/>
    <x v="0"/>
    <x v="0"/>
  </r>
  <r>
    <x v="0"/>
    <x v="1"/>
    <n v="3.37"/>
    <n v="67"/>
    <n v="11.24"/>
    <n v="98"/>
    <d v="2023-03-22T08:40:00"/>
    <d v="2023-03-22T09:47:00"/>
    <d v="2023-03-22T08:42:00"/>
    <d v="2023-03-22T09:49:00"/>
    <x v="0"/>
    <x v="0"/>
    <x v="0"/>
    <x v="0"/>
  </r>
  <r>
    <x v="4"/>
    <x v="0"/>
    <n v="2.67"/>
    <n v="95"/>
    <n v="6.41"/>
    <n v="85"/>
    <d v="2023-03-22T08:50:00"/>
    <d v="2023-03-22T10:25:00"/>
    <d v="2023-03-22T09:16:00"/>
    <d v="2023-03-22T10:51:00"/>
    <x v="1"/>
    <x v="1"/>
    <x v="0"/>
    <x v="0"/>
  </r>
  <r>
    <x v="2"/>
    <x v="3"/>
    <n v="4.1500000000000004"/>
    <n v="56"/>
    <n v="13.47"/>
    <n v="80"/>
    <d v="2023-03-22T09:00:00"/>
    <d v="2023-03-22T09:56:00"/>
    <d v="2023-03-22T08:57:00"/>
    <d v="2023-03-22T09:53:00"/>
    <x v="0"/>
    <x v="1"/>
    <x v="0"/>
    <x v="0"/>
  </r>
  <r>
    <x v="3"/>
    <x v="1"/>
    <n v="2.4"/>
    <n v="32"/>
    <n v="4.8600000000000003"/>
    <n v="93"/>
    <d v="2023-03-22T09:10:00"/>
    <d v="2023-03-22T09:42:00"/>
    <m/>
    <m/>
    <x v="2"/>
    <x v="1"/>
    <x v="1"/>
    <x v="1"/>
  </r>
  <r>
    <x v="3"/>
    <x v="2"/>
    <n v="4.47"/>
    <n v="41"/>
    <n v="5.15"/>
    <n v="93"/>
    <d v="2023-03-22T09:20:00"/>
    <d v="2023-03-22T10:01:00"/>
    <m/>
    <m/>
    <x v="2"/>
    <x v="1"/>
    <x v="1"/>
    <x v="1"/>
  </r>
  <r>
    <x v="0"/>
    <x v="1"/>
    <n v="4.59"/>
    <n v="88"/>
    <n v="10.050000000000001"/>
    <n v="82"/>
    <d v="2023-03-22T09:30:00"/>
    <d v="2023-03-22T10:58:00"/>
    <d v="2023-03-22T09:32:00"/>
    <d v="2023-03-22T11:00:00"/>
    <x v="0"/>
    <x v="0"/>
    <x v="0"/>
    <x v="0"/>
  </r>
  <r>
    <x v="3"/>
    <x v="1"/>
    <n v="4.67"/>
    <n v="80"/>
    <n v="6.9"/>
    <n v="94"/>
    <d v="2023-03-22T09:40:00"/>
    <d v="2023-03-22T11:00:00"/>
    <d v="2023-03-22T09:50:00"/>
    <d v="2023-03-22T11:10:00"/>
    <x v="1"/>
    <x v="1"/>
    <x v="0"/>
    <x v="0"/>
  </r>
  <r>
    <x v="1"/>
    <x v="0"/>
    <n v="3.57"/>
    <n v="96"/>
    <n v="13"/>
    <n v="98"/>
    <d v="2023-03-22T09:50:00"/>
    <d v="2023-03-22T11:26:00"/>
    <m/>
    <m/>
    <x v="2"/>
    <x v="1"/>
    <x v="1"/>
    <x v="1"/>
  </r>
  <r>
    <x v="4"/>
    <x v="1"/>
    <n v="4.0599999999999996"/>
    <n v="54"/>
    <n v="11.89"/>
    <n v="88"/>
    <d v="2023-03-22T10:00:00"/>
    <d v="2023-03-22T10:54:00"/>
    <d v="2023-03-22T09:59:00"/>
    <d v="2023-03-22T10:53:00"/>
    <x v="0"/>
    <x v="1"/>
    <x v="0"/>
    <x v="0"/>
  </r>
  <r>
    <x v="4"/>
    <x v="2"/>
    <n v="1.72"/>
    <n v="110"/>
    <n v="3.47"/>
    <n v="82"/>
    <d v="2023-03-22T10:10:00"/>
    <d v="2023-03-22T12:00:00"/>
    <d v="2023-03-22T10:08:00"/>
    <d v="2023-03-22T11:58:00"/>
    <x v="0"/>
    <x v="1"/>
    <x v="0"/>
    <x v="0"/>
  </r>
  <r>
    <x v="3"/>
    <x v="1"/>
    <n v="1.8"/>
    <n v="70"/>
    <n v="13.68"/>
    <n v="85"/>
    <d v="2023-03-22T10:20:00"/>
    <d v="2023-03-22T11:30:00"/>
    <m/>
    <m/>
    <x v="2"/>
    <x v="1"/>
    <x v="1"/>
    <x v="1"/>
  </r>
  <r>
    <x v="0"/>
    <x v="3"/>
    <n v="2.89"/>
    <n v="69"/>
    <n v="6.62"/>
    <n v="80"/>
    <d v="2023-03-22T10:30:00"/>
    <d v="2023-03-22T11:39:00"/>
    <m/>
    <m/>
    <x v="2"/>
    <x v="1"/>
    <x v="1"/>
    <x v="1"/>
  </r>
  <r>
    <x v="4"/>
    <x v="0"/>
    <n v="3.12"/>
    <n v="87"/>
    <n v="6.22"/>
    <n v="89"/>
    <d v="2023-03-22T10:40:00"/>
    <d v="2023-03-22T12:07:00"/>
    <d v="2023-03-22T10:38:00"/>
    <d v="2023-03-22T12:05:00"/>
    <x v="0"/>
    <x v="1"/>
    <x v="0"/>
    <x v="0"/>
  </r>
  <r>
    <x v="3"/>
    <x v="4"/>
    <n v="2.2200000000000002"/>
    <n v="84"/>
    <n v="12.13"/>
    <n v="86"/>
    <d v="2023-03-22T10:50:00"/>
    <d v="2023-03-22T12:14:00"/>
    <d v="2023-03-22T10:47:00"/>
    <d v="2023-03-22T12:11:00"/>
    <x v="0"/>
    <x v="1"/>
    <x v="0"/>
    <x v="0"/>
  </r>
  <r>
    <x v="3"/>
    <x v="2"/>
    <n v="4.3"/>
    <n v="26"/>
    <n v="9.83"/>
    <n v="83"/>
    <d v="2023-03-22T11:00:00"/>
    <d v="2023-03-22T11:26:00"/>
    <d v="2023-03-22T10:57:00"/>
    <d v="2023-03-22T11:23:00"/>
    <x v="0"/>
    <x v="1"/>
    <x v="0"/>
    <x v="0"/>
  </r>
  <r>
    <x v="2"/>
    <x v="1"/>
    <n v="4.6900000000000004"/>
    <n v="21"/>
    <n v="3.03"/>
    <n v="91"/>
    <d v="2023-03-22T11:10:00"/>
    <d v="2023-03-22T11:31:00"/>
    <d v="2023-03-22T11:14:00"/>
    <d v="2023-03-22T11:35:00"/>
    <x v="0"/>
    <x v="2"/>
    <x v="0"/>
    <x v="0"/>
  </r>
  <r>
    <x v="1"/>
    <x v="3"/>
    <n v="3.02"/>
    <n v="64"/>
    <n v="11"/>
    <n v="88"/>
    <d v="2023-03-22T11:20:00"/>
    <d v="2023-03-22T12:24:00"/>
    <d v="2023-03-22T11:24:00"/>
    <d v="2023-03-22T12:28:00"/>
    <x v="0"/>
    <x v="0"/>
    <x v="0"/>
    <x v="0"/>
  </r>
  <r>
    <x v="1"/>
    <x v="1"/>
    <n v="4.33"/>
    <n v="102"/>
    <n v="2.4300000000000002"/>
    <n v="93"/>
    <d v="2023-03-22T11:30:00"/>
    <d v="2023-03-22T13:12:00"/>
    <d v="2023-03-22T11:31:00"/>
    <d v="2023-03-22T13:13:00"/>
    <x v="0"/>
    <x v="3"/>
    <x v="0"/>
    <x v="0"/>
  </r>
  <r>
    <x v="1"/>
    <x v="2"/>
    <n v="4.49"/>
    <n v="85"/>
    <n v="7.05"/>
    <n v="81"/>
    <d v="2023-03-22T11:40:00"/>
    <d v="2023-03-22T13:05:00"/>
    <d v="2023-03-22T12:08:00"/>
    <d v="2023-03-22T13:33:00"/>
    <x v="1"/>
    <x v="1"/>
    <x v="0"/>
    <x v="0"/>
  </r>
  <r>
    <x v="0"/>
    <x v="3"/>
    <n v="4.72"/>
    <n v="63"/>
    <n v="10.66"/>
    <n v="86"/>
    <d v="2023-03-22T11:50:00"/>
    <d v="2023-03-22T12:53:00"/>
    <d v="2023-03-22T11:47:00"/>
    <d v="2023-03-22T12:50:00"/>
    <x v="0"/>
    <x v="1"/>
    <x v="0"/>
    <x v="0"/>
  </r>
  <r>
    <x v="0"/>
    <x v="3"/>
    <n v="3.89"/>
    <n v="60"/>
    <n v="12.62"/>
    <n v="92"/>
    <d v="2023-03-22T12:00:00"/>
    <d v="2023-03-22T13:00:00"/>
    <d v="2023-03-22T11:55:00"/>
    <d v="2023-03-22T12:55:00"/>
    <x v="0"/>
    <x v="1"/>
    <x v="0"/>
    <x v="0"/>
  </r>
  <r>
    <x v="1"/>
    <x v="2"/>
    <n v="4.0199999999999996"/>
    <n v="79"/>
    <n v="7.93"/>
    <n v="80"/>
    <d v="2023-03-22T12:10:00"/>
    <d v="2023-03-22T13:29:00"/>
    <d v="2023-03-22T12:35:00"/>
    <d v="2023-03-22T13:54:00"/>
    <x v="1"/>
    <x v="1"/>
    <x v="0"/>
    <x v="0"/>
  </r>
  <r>
    <x v="4"/>
    <x v="2"/>
    <n v="3.24"/>
    <n v="90"/>
    <n v="7.32"/>
    <n v="83"/>
    <d v="2023-03-22T12:20:00"/>
    <d v="2023-03-22T13:50:00"/>
    <d v="2023-03-22T12:20:00"/>
    <d v="2023-03-22T13:50:00"/>
    <x v="0"/>
    <x v="2"/>
    <x v="0"/>
    <x v="0"/>
  </r>
  <r>
    <x v="2"/>
    <x v="0"/>
    <n v="4.66"/>
    <n v="104"/>
    <n v="4.99"/>
    <n v="83"/>
    <d v="2023-03-22T12:30:00"/>
    <d v="2023-03-22T14:14:00"/>
    <d v="2023-03-22T12:53:00"/>
    <d v="2023-03-22T14:37:00"/>
    <x v="1"/>
    <x v="1"/>
    <x v="0"/>
    <x v="0"/>
  </r>
  <r>
    <x v="1"/>
    <x v="1"/>
    <n v="1.43"/>
    <n v="25"/>
    <n v="9.27"/>
    <n v="91"/>
    <d v="2023-03-22T12:40:00"/>
    <d v="2023-03-22T13:05:00"/>
    <d v="2023-03-22T12:43:00"/>
    <d v="2023-03-22T13:08:00"/>
    <x v="0"/>
    <x v="0"/>
    <x v="0"/>
    <x v="0"/>
  </r>
  <r>
    <x v="0"/>
    <x v="0"/>
    <n v="3.62"/>
    <n v="103"/>
    <n v="11.35"/>
    <n v="94"/>
    <d v="2023-03-22T12:50:00"/>
    <d v="2023-03-22T14:33:00"/>
    <d v="2023-03-22T12:50:00"/>
    <d v="2023-03-22T14:33:00"/>
    <x v="0"/>
    <x v="0"/>
    <x v="0"/>
    <x v="0"/>
  </r>
  <r>
    <x v="4"/>
    <x v="3"/>
    <n v="4.97"/>
    <n v="79"/>
    <n v="13.93"/>
    <n v="94"/>
    <d v="2023-03-22T13:00:00"/>
    <d v="2023-03-22T14:19:00"/>
    <m/>
    <m/>
    <x v="2"/>
    <x v="1"/>
    <x v="1"/>
    <x v="1"/>
  </r>
  <r>
    <x v="4"/>
    <x v="2"/>
    <n v="3.36"/>
    <n v="118"/>
    <n v="7.23"/>
    <n v="95"/>
    <d v="2023-03-22T13:10:00"/>
    <d v="2023-03-22T15:08:00"/>
    <m/>
    <m/>
    <x v="2"/>
    <x v="1"/>
    <x v="1"/>
    <x v="1"/>
  </r>
  <r>
    <x v="4"/>
    <x v="2"/>
    <n v="3.04"/>
    <n v="85"/>
    <n v="3.08"/>
    <n v="82"/>
    <d v="2023-03-22T13:20:00"/>
    <d v="2023-03-22T14:45:00"/>
    <m/>
    <m/>
    <x v="2"/>
    <x v="1"/>
    <x v="1"/>
    <x v="1"/>
  </r>
  <r>
    <x v="0"/>
    <x v="2"/>
    <n v="2.91"/>
    <n v="116"/>
    <n v="2.46"/>
    <n v="87"/>
    <d v="2023-03-22T13:30:00"/>
    <d v="2023-03-22T15:26:00"/>
    <m/>
    <m/>
    <x v="2"/>
    <x v="1"/>
    <x v="1"/>
    <x v="1"/>
  </r>
  <r>
    <x v="0"/>
    <x v="2"/>
    <n v="2.38"/>
    <n v="70"/>
    <n v="7.41"/>
    <n v="80"/>
    <d v="2023-03-22T13:40:00"/>
    <d v="2023-03-22T14:50:00"/>
    <m/>
    <m/>
    <x v="2"/>
    <x v="1"/>
    <x v="1"/>
    <x v="1"/>
  </r>
  <r>
    <x v="4"/>
    <x v="2"/>
    <n v="1.55"/>
    <n v="102"/>
    <n v="14"/>
    <n v="80"/>
    <d v="2023-03-22T13:50:00"/>
    <d v="2023-03-22T15:32:00"/>
    <m/>
    <m/>
    <x v="2"/>
    <x v="1"/>
    <x v="1"/>
    <x v="1"/>
  </r>
  <r>
    <x v="4"/>
    <x v="1"/>
    <n v="4.0199999999999996"/>
    <n v="66"/>
    <n v="6.01"/>
    <n v="84"/>
    <d v="2023-03-22T14:00:00"/>
    <d v="2023-03-22T15:06:00"/>
    <d v="2023-03-22T14:01:00"/>
    <d v="2023-03-22T15:07:00"/>
    <x v="0"/>
    <x v="2"/>
    <x v="0"/>
    <x v="0"/>
  </r>
  <r>
    <x v="0"/>
    <x v="2"/>
    <n v="4.24"/>
    <n v="77"/>
    <n v="5.71"/>
    <n v="81"/>
    <d v="2023-03-22T14:10:00"/>
    <d v="2023-03-22T15:27:00"/>
    <d v="2023-03-22T14:10:00"/>
    <d v="2023-03-22T15:27:00"/>
    <x v="0"/>
    <x v="2"/>
    <x v="0"/>
    <x v="0"/>
  </r>
  <r>
    <x v="2"/>
    <x v="3"/>
    <n v="3.24"/>
    <n v="53"/>
    <n v="12.27"/>
    <n v="81"/>
    <d v="2023-03-22T14:20:00"/>
    <d v="2023-03-22T15:13:00"/>
    <d v="2023-03-22T14:44:00"/>
    <d v="2023-03-22T15:37:00"/>
    <x v="1"/>
    <x v="1"/>
    <x v="0"/>
    <x v="0"/>
  </r>
  <r>
    <x v="0"/>
    <x v="1"/>
    <n v="1.45"/>
    <n v="45"/>
    <n v="6.11"/>
    <n v="93"/>
    <d v="2023-03-22T14:30:00"/>
    <d v="2023-03-22T15:15:00"/>
    <m/>
    <m/>
    <x v="2"/>
    <x v="1"/>
    <x v="1"/>
    <x v="1"/>
  </r>
  <r>
    <x v="0"/>
    <x v="4"/>
    <n v="2.09"/>
    <n v="66"/>
    <n v="11.05"/>
    <n v="91"/>
    <d v="2023-03-22T14:40:00"/>
    <d v="2023-03-22T15:46:00"/>
    <d v="2023-03-22T14:39:00"/>
    <d v="2023-03-22T15:45:00"/>
    <x v="0"/>
    <x v="1"/>
    <x v="0"/>
    <x v="0"/>
  </r>
  <r>
    <x v="2"/>
    <x v="2"/>
    <n v="3.83"/>
    <n v="94"/>
    <n v="13.39"/>
    <n v="84"/>
    <d v="2023-03-22T14:50:00"/>
    <d v="2023-03-22T16:24:00"/>
    <d v="2023-03-22T14:51:00"/>
    <d v="2023-03-22T16:25:00"/>
    <x v="0"/>
    <x v="0"/>
    <x v="0"/>
    <x v="0"/>
  </r>
  <r>
    <x v="0"/>
    <x v="0"/>
    <n v="1.04"/>
    <n v="114"/>
    <n v="11.61"/>
    <n v="98"/>
    <d v="2023-03-22T15:00:00"/>
    <d v="2023-03-22T16:54:00"/>
    <d v="2023-03-22T15:19:00"/>
    <d v="2023-03-22T17:13:00"/>
    <x v="1"/>
    <x v="1"/>
    <x v="0"/>
    <x v="0"/>
  </r>
  <r>
    <x v="0"/>
    <x v="1"/>
    <n v="3.85"/>
    <n v="112"/>
    <n v="13.5"/>
    <n v="85"/>
    <d v="2023-03-22T15:10:00"/>
    <d v="2023-03-22T17:02:00"/>
    <d v="2023-03-22T15:12:00"/>
    <d v="2023-03-22T17:04:00"/>
    <x v="0"/>
    <x v="0"/>
    <x v="0"/>
    <x v="0"/>
  </r>
  <r>
    <x v="3"/>
    <x v="4"/>
    <n v="4.68"/>
    <n v="58"/>
    <n v="8.91"/>
    <n v="87"/>
    <d v="2023-03-22T15:20:00"/>
    <d v="2023-03-22T16:18:00"/>
    <d v="2023-03-22T15:17:00"/>
    <d v="2023-03-22T16:15:00"/>
    <x v="0"/>
    <x v="1"/>
    <x v="0"/>
    <x v="0"/>
  </r>
  <r>
    <x v="4"/>
    <x v="0"/>
    <n v="1.93"/>
    <n v="107"/>
    <n v="2.2400000000000002"/>
    <n v="80"/>
    <d v="2023-03-22T15:30:00"/>
    <d v="2023-03-22T17:17:00"/>
    <d v="2023-03-22T15:58:00"/>
    <d v="2023-03-22T17:45:00"/>
    <x v="1"/>
    <x v="1"/>
    <x v="0"/>
    <x v="0"/>
  </r>
  <r>
    <x v="1"/>
    <x v="0"/>
    <n v="2.4300000000000002"/>
    <n v="109"/>
    <n v="9.16"/>
    <n v="81"/>
    <d v="2023-03-22T15:40:00"/>
    <d v="2023-03-22T17:29:00"/>
    <d v="2023-03-22T15:40:00"/>
    <d v="2023-03-22T17:29:00"/>
    <x v="0"/>
    <x v="2"/>
    <x v="0"/>
    <x v="0"/>
  </r>
  <r>
    <x v="4"/>
    <x v="1"/>
    <n v="1.92"/>
    <n v="29"/>
    <n v="14.55"/>
    <n v="91"/>
    <d v="2023-03-22T15:50:00"/>
    <d v="2023-03-22T16:19:00"/>
    <d v="2023-03-22T15:52:00"/>
    <d v="2023-03-22T16:21:00"/>
    <x v="0"/>
    <x v="0"/>
    <x v="0"/>
    <x v="0"/>
  </r>
  <r>
    <x v="0"/>
    <x v="4"/>
    <n v="3.36"/>
    <n v="70"/>
    <n v="11.67"/>
    <n v="94"/>
    <d v="2023-03-22T16:00:00"/>
    <d v="2023-03-22T17:10:00"/>
    <d v="2023-03-22T16:30:00"/>
    <d v="2023-03-22T17:40:00"/>
    <x v="1"/>
    <x v="1"/>
    <x v="0"/>
    <x v="0"/>
  </r>
  <r>
    <x v="3"/>
    <x v="4"/>
    <n v="3.13"/>
    <n v="52"/>
    <n v="2.68"/>
    <n v="82"/>
    <d v="2023-03-22T16:10:00"/>
    <d v="2023-03-22T17:02:00"/>
    <d v="2023-03-22T16:07:00"/>
    <d v="2023-03-22T16:59:00"/>
    <x v="0"/>
    <x v="1"/>
    <x v="0"/>
    <x v="0"/>
  </r>
  <r>
    <x v="0"/>
    <x v="0"/>
    <n v="3.22"/>
    <n v="72"/>
    <n v="3.4"/>
    <n v="85"/>
    <d v="2023-03-22T16:20:00"/>
    <d v="2023-03-22T17:32:00"/>
    <d v="2023-03-22T16:17:00"/>
    <d v="2023-03-22T17:29:00"/>
    <x v="0"/>
    <x v="1"/>
    <x v="0"/>
    <x v="0"/>
  </r>
  <r>
    <x v="2"/>
    <x v="4"/>
    <n v="1.5"/>
    <n v="119"/>
    <n v="6.85"/>
    <n v="84"/>
    <d v="2023-03-22T16:30:00"/>
    <d v="2023-03-22T18:29:00"/>
    <d v="2023-03-22T16:26:00"/>
    <d v="2023-03-22T18:25:00"/>
    <x v="0"/>
    <x v="1"/>
    <x v="0"/>
    <x v="0"/>
  </r>
  <r>
    <x v="4"/>
    <x v="3"/>
    <n v="1.3"/>
    <n v="112"/>
    <n v="2.94"/>
    <n v="93"/>
    <d v="2023-03-22T16:40:00"/>
    <d v="2023-03-22T18:32:00"/>
    <d v="2023-03-22T17:06:00"/>
    <d v="2023-03-22T18:58:00"/>
    <x v="1"/>
    <x v="1"/>
    <x v="0"/>
    <x v="0"/>
  </r>
  <r>
    <x v="3"/>
    <x v="1"/>
    <n v="4.0199999999999996"/>
    <n v="39"/>
    <n v="6.18"/>
    <n v="93"/>
    <d v="2023-03-22T16:50:00"/>
    <d v="2023-03-22T17:29:00"/>
    <d v="2023-03-22T17:13:00"/>
    <d v="2023-03-22T17:52:00"/>
    <x v="1"/>
    <x v="1"/>
    <x v="0"/>
    <x v="0"/>
  </r>
  <r>
    <x v="0"/>
    <x v="2"/>
    <n v="4.54"/>
    <n v="105"/>
    <n v="2.63"/>
    <n v="97"/>
    <d v="2023-03-22T17:00:00"/>
    <d v="2023-03-22T18:45:00"/>
    <d v="2023-03-22T16:59:00"/>
    <d v="2023-03-22T18:44:00"/>
    <x v="0"/>
    <x v="1"/>
    <x v="0"/>
    <x v="0"/>
  </r>
  <r>
    <x v="0"/>
    <x v="0"/>
    <n v="2.1"/>
    <n v="51"/>
    <n v="13.64"/>
    <n v="85"/>
    <d v="2023-03-22T17:10:00"/>
    <d v="2023-03-22T18:01:00"/>
    <d v="2023-03-22T17:09:00"/>
    <d v="2023-03-22T18:00:00"/>
    <x v="0"/>
    <x v="1"/>
    <x v="0"/>
    <x v="0"/>
  </r>
  <r>
    <x v="4"/>
    <x v="3"/>
    <n v="4.42"/>
    <n v="98"/>
    <n v="14.08"/>
    <n v="97"/>
    <d v="2023-03-22T17:20:00"/>
    <d v="2023-03-22T18:58:00"/>
    <d v="2023-03-22T17:46:00"/>
    <d v="2023-03-22T19:24:00"/>
    <x v="1"/>
    <x v="1"/>
    <x v="0"/>
    <x v="0"/>
  </r>
  <r>
    <x v="4"/>
    <x v="4"/>
    <n v="3.26"/>
    <n v="87"/>
    <n v="9.49"/>
    <n v="80"/>
    <d v="2023-03-22T17:30:00"/>
    <d v="2023-03-22T18:57:00"/>
    <d v="2023-03-22T17:27:00"/>
    <d v="2023-03-22T18:54:00"/>
    <x v="0"/>
    <x v="1"/>
    <x v="0"/>
    <x v="0"/>
  </r>
  <r>
    <x v="1"/>
    <x v="3"/>
    <n v="1.54"/>
    <n v="103"/>
    <n v="7.9"/>
    <n v="80"/>
    <d v="2023-03-22T17:40:00"/>
    <d v="2023-03-22T19:23:00"/>
    <m/>
    <m/>
    <x v="2"/>
    <x v="1"/>
    <x v="1"/>
    <x v="1"/>
  </r>
  <r>
    <x v="3"/>
    <x v="3"/>
    <n v="1.45"/>
    <n v="73"/>
    <n v="4.3600000000000003"/>
    <n v="80"/>
    <d v="2023-03-22T17:50:00"/>
    <d v="2023-03-22T19:03:00"/>
    <d v="2023-03-22T18:12:00"/>
    <d v="2023-03-22T19:25:00"/>
    <x v="1"/>
    <x v="1"/>
    <x v="0"/>
    <x v="0"/>
  </r>
  <r>
    <x v="1"/>
    <x v="0"/>
    <n v="2.13"/>
    <n v="85"/>
    <n v="13.13"/>
    <n v="89"/>
    <d v="2023-03-22T18:00:00"/>
    <d v="2023-03-22T19:25:00"/>
    <m/>
    <m/>
    <x v="2"/>
    <x v="1"/>
    <x v="1"/>
    <x v="1"/>
  </r>
  <r>
    <x v="3"/>
    <x v="4"/>
    <n v="3.8"/>
    <n v="93"/>
    <n v="4.0599999999999996"/>
    <n v="88"/>
    <d v="2023-03-22T18:10:00"/>
    <d v="2023-03-22T19:43:00"/>
    <d v="2023-03-22T18:06:00"/>
    <d v="2023-03-22T19:39:00"/>
    <x v="0"/>
    <x v="1"/>
    <x v="0"/>
    <x v="0"/>
  </r>
  <r>
    <x v="3"/>
    <x v="0"/>
    <n v="1.37"/>
    <n v="102"/>
    <n v="2.21"/>
    <n v="82"/>
    <d v="2023-03-22T18:20:00"/>
    <d v="2023-03-22T20:02:00"/>
    <d v="2023-03-22T18:44:00"/>
    <d v="2023-03-22T20:26:00"/>
    <x v="1"/>
    <x v="1"/>
    <x v="0"/>
    <x v="0"/>
  </r>
  <r>
    <x v="0"/>
    <x v="2"/>
    <n v="1.78"/>
    <n v="36"/>
    <n v="6.59"/>
    <n v="86"/>
    <d v="2023-03-22T18:30:00"/>
    <d v="2023-03-22T19:06:00"/>
    <d v="2023-03-22T18:34:00"/>
    <d v="2023-03-22T19:10:00"/>
    <x v="0"/>
    <x v="2"/>
    <x v="0"/>
    <x v="0"/>
  </r>
  <r>
    <x v="0"/>
    <x v="0"/>
    <n v="2.8"/>
    <n v="113"/>
    <n v="3.17"/>
    <n v="85"/>
    <d v="2023-03-22T18:40:00"/>
    <d v="2023-03-22T20:33:00"/>
    <d v="2023-03-22T19:10:00"/>
    <d v="2023-03-22T21:03:00"/>
    <x v="1"/>
    <x v="1"/>
    <x v="0"/>
    <x v="0"/>
  </r>
  <r>
    <x v="1"/>
    <x v="2"/>
    <n v="4.66"/>
    <n v="43"/>
    <n v="11.89"/>
    <n v="90"/>
    <d v="2023-03-22T18:50:00"/>
    <d v="2023-03-22T19:33:00"/>
    <d v="2023-03-22T19:14:00"/>
    <d v="2023-03-22T19:57:00"/>
    <x v="1"/>
    <x v="1"/>
    <x v="0"/>
    <x v="0"/>
  </r>
  <r>
    <x v="3"/>
    <x v="0"/>
    <n v="4.74"/>
    <n v="61"/>
    <n v="5.82"/>
    <n v="91"/>
    <d v="2023-03-22T19:00:00"/>
    <d v="2023-03-22T20:01:00"/>
    <d v="2023-03-22T19:28:00"/>
    <d v="2023-03-22T20:29:00"/>
    <x v="1"/>
    <x v="1"/>
    <x v="0"/>
    <x v="0"/>
  </r>
  <r>
    <x v="2"/>
    <x v="4"/>
    <n v="4.04"/>
    <n v="87"/>
    <n v="14.09"/>
    <n v="89"/>
    <d v="2023-03-22T19:10:00"/>
    <d v="2023-03-22T20:37:00"/>
    <d v="2023-03-22T19:14:00"/>
    <d v="2023-03-22T20:41:00"/>
    <x v="0"/>
    <x v="0"/>
    <x v="0"/>
    <x v="0"/>
  </r>
  <r>
    <x v="0"/>
    <x v="3"/>
    <n v="2.3199999999999998"/>
    <n v="50"/>
    <n v="8.42"/>
    <n v="89"/>
    <d v="2023-03-22T19:20:00"/>
    <d v="2023-03-22T20:10:00"/>
    <d v="2023-03-22T19:33:00"/>
    <d v="2023-03-22T20:23:00"/>
    <x v="1"/>
    <x v="1"/>
    <x v="0"/>
    <x v="0"/>
  </r>
  <r>
    <x v="2"/>
    <x v="1"/>
    <n v="3.69"/>
    <n v="118"/>
    <n v="4.63"/>
    <n v="84"/>
    <d v="2023-03-22T19:30:00"/>
    <d v="2023-03-22T21:28:00"/>
    <m/>
    <m/>
    <x v="2"/>
    <x v="1"/>
    <x v="1"/>
    <x v="1"/>
  </r>
  <r>
    <x v="3"/>
    <x v="0"/>
    <n v="2.44"/>
    <n v="97"/>
    <n v="14.54"/>
    <n v="98"/>
    <d v="2023-03-22T19:40:00"/>
    <d v="2023-03-22T21:17:00"/>
    <d v="2023-03-22T19:39:00"/>
    <d v="2023-03-22T21:16:00"/>
    <x v="0"/>
    <x v="1"/>
    <x v="0"/>
    <x v="0"/>
  </r>
  <r>
    <x v="0"/>
    <x v="1"/>
    <n v="1.71"/>
    <n v="56"/>
    <n v="11"/>
    <n v="90"/>
    <d v="2023-03-22T19:50:00"/>
    <d v="2023-03-22T20:46:00"/>
    <d v="2023-03-22T19:53:00"/>
    <d v="2023-03-22T20:49:00"/>
    <x v="0"/>
    <x v="0"/>
    <x v="0"/>
    <x v="0"/>
  </r>
  <r>
    <x v="4"/>
    <x v="1"/>
    <n v="1.69"/>
    <n v="57"/>
    <n v="2.81"/>
    <n v="96"/>
    <d v="2023-03-22T20:00:00"/>
    <d v="2023-03-22T20:57:00"/>
    <d v="2023-03-22T20:21:00"/>
    <d v="2023-03-22T21:18:00"/>
    <x v="1"/>
    <x v="1"/>
    <x v="0"/>
    <x v="0"/>
  </r>
  <r>
    <x v="1"/>
    <x v="4"/>
    <n v="1.34"/>
    <n v="100"/>
    <n v="9.56"/>
    <n v="85"/>
    <d v="2023-03-22T20:10:00"/>
    <d v="2023-03-22T21:50:00"/>
    <d v="2023-03-22T20:13:00"/>
    <d v="2023-03-22T21:53:00"/>
    <x v="0"/>
    <x v="0"/>
    <x v="0"/>
    <x v="0"/>
  </r>
  <r>
    <x v="0"/>
    <x v="4"/>
    <n v="3.41"/>
    <n v="37"/>
    <n v="6.08"/>
    <n v="84"/>
    <d v="2023-03-22T20:20:00"/>
    <d v="2023-03-22T20:57:00"/>
    <d v="2023-03-22T20:39:00"/>
    <d v="2023-03-22T21:16:00"/>
    <x v="1"/>
    <x v="1"/>
    <x v="0"/>
    <x v="0"/>
  </r>
  <r>
    <x v="0"/>
    <x v="1"/>
    <n v="2.29"/>
    <n v="25"/>
    <n v="3.47"/>
    <n v="85"/>
    <d v="2023-03-22T20:30:00"/>
    <d v="2023-03-22T20:55:00"/>
    <d v="2023-03-22T20:35:00"/>
    <d v="2023-03-22T21:00:00"/>
    <x v="0"/>
    <x v="2"/>
    <x v="0"/>
    <x v="0"/>
  </r>
  <r>
    <x v="1"/>
    <x v="4"/>
    <n v="1.59"/>
    <n v="21"/>
    <n v="12.56"/>
    <n v="81"/>
    <d v="2023-03-22T20:40:00"/>
    <d v="2023-03-22T21:01:00"/>
    <d v="2023-03-22T21:08:00"/>
    <d v="2023-03-22T21:29:00"/>
    <x v="1"/>
    <x v="1"/>
    <x v="0"/>
    <x v="0"/>
  </r>
  <r>
    <x v="2"/>
    <x v="4"/>
    <n v="2.0299999999999998"/>
    <n v="59"/>
    <n v="3.42"/>
    <n v="93"/>
    <d v="2023-03-22T20:50:00"/>
    <d v="2023-03-22T21:49:00"/>
    <d v="2023-03-22T21:04:00"/>
    <d v="2023-03-22T22:03:00"/>
    <x v="1"/>
    <x v="1"/>
    <x v="0"/>
    <x v="0"/>
  </r>
  <r>
    <x v="1"/>
    <x v="3"/>
    <n v="4.76"/>
    <n v="46"/>
    <n v="4.6100000000000003"/>
    <n v="89"/>
    <d v="2023-03-22T21:00:00"/>
    <d v="2023-03-22T21:46:00"/>
    <d v="2023-03-22T20:59:00"/>
    <d v="2023-03-22T21:45:00"/>
    <x v="0"/>
    <x v="1"/>
    <x v="0"/>
    <x v="0"/>
  </r>
  <r>
    <x v="2"/>
    <x v="0"/>
    <n v="3.68"/>
    <n v="23"/>
    <n v="8.99"/>
    <n v="87"/>
    <d v="2023-03-22T21:10:00"/>
    <d v="2023-03-22T21:33:00"/>
    <d v="2023-03-22T21:10:00"/>
    <d v="2023-03-22T21:33:00"/>
    <x v="0"/>
    <x v="2"/>
    <x v="0"/>
    <x v="0"/>
  </r>
  <r>
    <x v="4"/>
    <x v="0"/>
    <n v="3.91"/>
    <n v="101"/>
    <n v="10.7"/>
    <n v="95"/>
    <d v="2023-03-22T21:20:00"/>
    <d v="2023-03-22T23:01:00"/>
    <d v="2023-03-22T21:20:00"/>
    <d v="2023-03-22T23:01:00"/>
    <x v="0"/>
    <x v="0"/>
    <x v="0"/>
    <x v="0"/>
  </r>
  <r>
    <x v="2"/>
    <x v="4"/>
    <n v="4.08"/>
    <n v="60"/>
    <n v="2.94"/>
    <n v="90"/>
    <d v="2023-03-22T21:30:00"/>
    <d v="2023-03-22T22:30:00"/>
    <d v="2023-03-22T21:57:00"/>
    <d v="2023-03-22T22:57:00"/>
    <x v="1"/>
    <x v="1"/>
    <x v="0"/>
    <x v="0"/>
  </r>
  <r>
    <x v="4"/>
    <x v="3"/>
    <n v="1.18"/>
    <n v="61"/>
    <n v="14.09"/>
    <n v="87"/>
    <d v="2023-03-22T21:40:00"/>
    <d v="2023-03-22T22:41:00"/>
    <d v="2023-03-22T21:50:00"/>
    <d v="2023-03-22T22:51:00"/>
    <x v="1"/>
    <x v="1"/>
    <x v="0"/>
    <x v="0"/>
  </r>
  <r>
    <x v="0"/>
    <x v="3"/>
    <n v="4.59"/>
    <n v="120"/>
    <n v="3.14"/>
    <n v="93"/>
    <d v="2023-03-22T21:50:00"/>
    <d v="2023-03-22T23:50:00"/>
    <d v="2023-03-22T22:20:00"/>
    <d v="2023-03-23T00:20:00"/>
    <x v="1"/>
    <x v="1"/>
    <x v="0"/>
    <x v="0"/>
  </r>
  <r>
    <x v="1"/>
    <x v="2"/>
    <n v="3.82"/>
    <n v="79"/>
    <n v="13.23"/>
    <n v="96"/>
    <d v="2023-03-22T22:00:00"/>
    <d v="2023-03-22T23:19:00"/>
    <d v="2023-03-22T21:57:00"/>
    <d v="2023-03-22T23:16:00"/>
    <x v="0"/>
    <x v="1"/>
    <x v="0"/>
    <x v="0"/>
  </r>
  <r>
    <x v="4"/>
    <x v="3"/>
    <n v="1.73"/>
    <n v="30"/>
    <n v="4.05"/>
    <n v="93"/>
    <d v="2023-03-22T22:10:00"/>
    <d v="2023-03-22T22:40:00"/>
    <d v="2023-03-22T22:32:00"/>
    <d v="2023-03-22T23:02:00"/>
    <x v="1"/>
    <x v="1"/>
    <x v="0"/>
    <x v="0"/>
  </r>
  <r>
    <x v="4"/>
    <x v="2"/>
    <n v="1.83"/>
    <n v="112"/>
    <n v="9.51"/>
    <n v="80"/>
    <d v="2023-03-22T22:20:00"/>
    <d v="2023-03-23T00:12:00"/>
    <d v="2023-03-22T22:34:00"/>
    <d v="2023-03-23T00:26:00"/>
    <x v="1"/>
    <x v="1"/>
    <x v="0"/>
    <x v="0"/>
  </r>
  <r>
    <x v="3"/>
    <x v="1"/>
    <n v="4.8600000000000003"/>
    <n v="97"/>
    <n v="2.25"/>
    <n v="86"/>
    <d v="2023-03-22T22:30:00"/>
    <d v="2023-03-23T00:07:00"/>
    <d v="2023-03-22T22:31:00"/>
    <d v="2023-03-23T00:08:00"/>
    <x v="0"/>
    <x v="3"/>
    <x v="0"/>
    <x v="0"/>
  </r>
  <r>
    <x v="2"/>
    <x v="2"/>
    <n v="1.1200000000000001"/>
    <n v="45"/>
    <n v="7.92"/>
    <n v="97"/>
    <d v="2023-03-22T22:40:00"/>
    <d v="2023-03-22T23:25:00"/>
    <d v="2023-03-22T22:40:00"/>
    <d v="2023-03-22T23:25:00"/>
    <x v="0"/>
    <x v="2"/>
    <x v="0"/>
    <x v="0"/>
  </r>
  <r>
    <x v="0"/>
    <x v="1"/>
    <n v="2.92"/>
    <n v="71"/>
    <n v="2.99"/>
    <n v="97"/>
    <d v="2023-03-22T22:50:00"/>
    <d v="2023-03-23T00:01:00"/>
    <d v="2023-03-22T22:47:00"/>
    <d v="2023-03-22T23:58:00"/>
    <x v="0"/>
    <x v="1"/>
    <x v="0"/>
    <x v="0"/>
  </r>
  <r>
    <x v="0"/>
    <x v="3"/>
    <n v="2.63"/>
    <n v="71"/>
    <n v="6.57"/>
    <n v="97"/>
    <d v="2023-03-22T23:00:00"/>
    <d v="2023-03-23T00:11:00"/>
    <d v="2023-03-22T23:04:00"/>
    <d v="2023-03-23T00:15:00"/>
    <x v="0"/>
    <x v="2"/>
    <x v="0"/>
    <x v="0"/>
  </r>
  <r>
    <x v="0"/>
    <x v="1"/>
    <n v="3.36"/>
    <n v="29"/>
    <n v="11.77"/>
    <n v="94"/>
    <d v="2023-03-22T23:10:00"/>
    <d v="2023-03-22T23:39:00"/>
    <d v="2023-03-22T23:06:00"/>
    <d v="2023-03-22T23:35:00"/>
    <x v="0"/>
    <x v="1"/>
    <x v="0"/>
    <x v="0"/>
  </r>
  <r>
    <x v="4"/>
    <x v="1"/>
    <n v="3.22"/>
    <n v="39"/>
    <n v="5.85"/>
    <n v="94"/>
    <d v="2023-03-22T23:20:00"/>
    <d v="2023-03-22T23:59:00"/>
    <d v="2023-03-22T23:15:00"/>
    <d v="2023-03-22T23:54:00"/>
    <x v="0"/>
    <x v="1"/>
    <x v="0"/>
    <x v="0"/>
  </r>
  <r>
    <x v="0"/>
    <x v="0"/>
    <n v="4.21"/>
    <n v="84"/>
    <n v="10.61"/>
    <n v="91"/>
    <d v="2023-03-22T23:30:00"/>
    <d v="2023-03-23T00:54:00"/>
    <d v="2023-03-22T23:31:00"/>
    <d v="2023-03-23T00:55:00"/>
    <x v="0"/>
    <x v="0"/>
    <x v="0"/>
    <x v="0"/>
  </r>
  <r>
    <x v="2"/>
    <x v="4"/>
    <n v="3"/>
    <n v="116"/>
    <n v="8.84"/>
    <n v="91"/>
    <d v="2023-03-22T23:40:00"/>
    <d v="2023-03-23T01:36:00"/>
    <d v="2023-03-22T23:40:00"/>
    <d v="2023-03-23T01:36:00"/>
    <x v="0"/>
    <x v="2"/>
    <x v="0"/>
    <x v="0"/>
  </r>
  <r>
    <x v="2"/>
    <x v="0"/>
    <n v="1.72"/>
    <n v="30"/>
    <n v="7.5"/>
    <n v="81"/>
    <d v="2023-03-22T23:50:00"/>
    <d v="2023-03-23T00:20:00"/>
    <d v="2023-03-23T00:00:00"/>
    <d v="2023-03-23T00:30:00"/>
    <x v="1"/>
    <x v="1"/>
    <x v="0"/>
    <x v="0"/>
  </r>
  <r>
    <x v="2"/>
    <x v="0"/>
    <n v="2.4300000000000002"/>
    <n v="102"/>
    <n v="9.49"/>
    <n v="84"/>
    <d v="2023-03-23T00:00:00"/>
    <d v="2023-03-23T01:42:00"/>
    <d v="2023-03-23T00:10:00"/>
    <d v="2023-03-23T01:52:00"/>
    <x v="1"/>
    <x v="1"/>
    <x v="0"/>
    <x v="0"/>
  </r>
  <r>
    <x v="4"/>
    <x v="1"/>
    <n v="4.68"/>
    <n v="99"/>
    <n v="6.84"/>
    <n v="82"/>
    <d v="2023-03-23T00:10:00"/>
    <d v="2023-03-23T01:49:00"/>
    <d v="2023-03-23T00:12:00"/>
    <d v="2023-03-23T01:51:00"/>
    <x v="0"/>
    <x v="2"/>
    <x v="0"/>
    <x v="0"/>
  </r>
  <r>
    <x v="4"/>
    <x v="0"/>
    <n v="3.67"/>
    <n v="25"/>
    <n v="4.1399999999999997"/>
    <n v="96"/>
    <d v="2023-03-23T00:20:00"/>
    <d v="2023-03-23T00:45:00"/>
    <m/>
    <m/>
    <x v="2"/>
    <x v="1"/>
    <x v="1"/>
    <x v="1"/>
  </r>
  <r>
    <x v="0"/>
    <x v="3"/>
    <n v="1.37"/>
    <n v="108"/>
    <n v="12.39"/>
    <n v="83"/>
    <d v="2023-03-23T00:30:00"/>
    <d v="2023-03-23T02:18:00"/>
    <d v="2023-03-23T00:47:00"/>
    <d v="2023-03-23T02:35:00"/>
    <x v="1"/>
    <x v="1"/>
    <x v="0"/>
    <x v="0"/>
  </r>
  <r>
    <x v="2"/>
    <x v="1"/>
    <n v="4.6100000000000003"/>
    <n v="111"/>
    <n v="10.3"/>
    <n v="89"/>
    <d v="2023-03-23T00:40:00"/>
    <d v="2023-03-23T02:31:00"/>
    <d v="2023-03-23T01:04:00"/>
    <d v="2023-03-23T02:55:00"/>
    <x v="1"/>
    <x v="1"/>
    <x v="0"/>
    <x v="0"/>
  </r>
  <r>
    <x v="4"/>
    <x v="1"/>
    <n v="4.05"/>
    <n v="58"/>
    <n v="14.55"/>
    <n v="97"/>
    <d v="2023-03-23T00:50:00"/>
    <d v="2023-03-23T01:48:00"/>
    <d v="2023-03-23T01:13:00"/>
    <d v="2023-03-23T02:11:00"/>
    <x v="1"/>
    <x v="1"/>
    <x v="0"/>
    <x v="0"/>
  </r>
  <r>
    <x v="0"/>
    <x v="4"/>
    <n v="1.65"/>
    <n v="76"/>
    <n v="10.69"/>
    <n v="88"/>
    <d v="2023-03-23T01:00:00"/>
    <d v="2023-03-23T02:16:00"/>
    <d v="2023-03-23T00:58:00"/>
    <d v="2023-03-23T02:14:00"/>
    <x v="0"/>
    <x v="1"/>
    <x v="0"/>
    <x v="0"/>
  </r>
  <r>
    <x v="2"/>
    <x v="1"/>
    <n v="3.12"/>
    <n v="24"/>
    <n v="11.09"/>
    <n v="86"/>
    <d v="2023-03-23T01:10:00"/>
    <d v="2023-03-23T01:34:00"/>
    <d v="2023-03-23T01:12:00"/>
    <d v="2023-03-23T01:36:00"/>
    <x v="0"/>
    <x v="0"/>
    <x v="0"/>
    <x v="0"/>
  </r>
  <r>
    <x v="1"/>
    <x v="0"/>
    <n v="4.08"/>
    <n v="67"/>
    <n v="11.06"/>
    <n v="81"/>
    <d v="2023-03-23T01:20:00"/>
    <d v="2023-03-23T02:27:00"/>
    <d v="2023-03-23T01:16:00"/>
    <d v="2023-03-23T02:23:00"/>
    <x v="0"/>
    <x v="1"/>
    <x v="0"/>
    <x v="0"/>
  </r>
  <r>
    <x v="4"/>
    <x v="3"/>
    <n v="1.73"/>
    <n v="46"/>
    <n v="4.04"/>
    <n v="85"/>
    <d v="2023-03-23T01:30:00"/>
    <d v="2023-03-23T02:16:00"/>
    <d v="2023-03-23T01:26:00"/>
    <d v="2023-03-23T02:12:00"/>
    <x v="0"/>
    <x v="1"/>
    <x v="0"/>
    <x v="0"/>
  </r>
  <r>
    <x v="1"/>
    <x v="0"/>
    <n v="2.2200000000000002"/>
    <n v="46"/>
    <n v="6.99"/>
    <n v="90"/>
    <d v="2023-03-23T01:40:00"/>
    <d v="2023-03-23T02:26:00"/>
    <d v="2023-03-23T01:35:00"/>
    <d v="2023-03-23T02:21:00"/>
    <x v="0"/>
    <x v="1"/>
    <x v="0"/>
    <x v="0"/>
  </r>
  <r>
    <x v="4"/>
    <x v="0"/>
    <n v="1.46"/>
    <n v="28"/>
    <n v="13.43"/>
    <n v="96"/>
    <d v="2023-03-23T01:50:00"/>
    <d v="2023-03-23T02:18:00"/>
    <d v="2023-03-23T01:46:00"/>
    <d v="2023-03-23T02:14:00"/>
    <x v="0"/>
    <x v="1"/>
    <x v="0"/>
    <x v="0"/>
  </r>
  <r>
    <x v="4"/>
    <x v="1"/>
    <n v="4.3899999999999997"/>
    <n v="81"/>
    <n v="10.4"/>
    <n v="91"/>
    <d v="2023-03-23T02:00:00"/>
    <d v="2023-03-23T03:21:00"/>
    <d v="2023-03-23T02:01:00"/>
    <d v="2023-03-23T03:22:00"/>
    <x v="0"/>
    <x v="0"/>
    <x v="0"/>
    <x v="0"/>
  </r>
  <r>
    <x v="4"/>
    <x v="3"/>
    <n v="4.76"/>
    <n v="37"/>
    <n v="5.0199999999999996"/>
    <n v="98"/>
    <d v="2023-03-23T02:10:00"/>
    <d v="2023-03-23T02:47:00"/>
    <d v="2023-03-23T02:15:00"/>
    <d v="2023-03-23T02:52:00"/>
    <x v="0"/>
    <x v="2"/>
    <x v="0"/>
    <x v="0"/>
  </r>
  <r>
    <x v="2"/>
    <x v="4"/>
    <n v="1.84"/>
    <n v="78"/>
    <n v="11.24"/>
    <n v="82"/>
    <d v="2023-03-23T02:20:00"/>
    <d v="2023-03-23T03:38:00"/>
    <m/>
    <m/>
    <x v="2"/>
    <x v="1"/>
    <x v="1"/>
    <x v="1"/>
  </r>
  <r>
    <x v="0"/>
    <x v="3"/>
    <n v="4.75"/>
    <n v="62"/>
    <n v="7.47"/>
    <n v="89"/>
    <d v="2023-03-23T02:30:00"/>
    <d v="2023-03-23T03:32:00"/>
    <d v="2023-03-23T02:28:00"/>
    <d v="2023-03-23T03:30:00"/>
    <x v="0"/>
    <x v="1"/>
    <x v="0"/>
    <x v="0"/>
  </r>
  <r>
    <x v="4"/>
    <x v="2"/>
    <n v="1.17"/>
    <n v="25"/>
    <n v="5.92"/>
    <n v="85"/>
    <d v="2023-03-23T02:40:00"/>
    <d v="2023-03-23T03:05:00"/>
    <d v="2023-03-23T02:44:00"/>
    <d v="2023-03-23T03:09:00"/>
    <x v="0"/>
    <x v="2"/>
    <x v="0"/>
    <x v="0"/>
  </r>
  <r>
    <x v="3"/>
    <x v="2"/>
    <n v="3.73"/>
    <n v="40"/>
    <n v="10.82"/>
    <n v="94"/>
    <d v="2023-03-23T02:50:00"/>
    <d v="2023-03-23T03:30:00"/>
    <d v="2023-03-23T03:03:00"/>
    <d v="2023-03-23T03:43:00"/>
    <x v="1"/>
    <x v="1"/>
    <x v="0"/>
    <x v="0"/>
  </r>
  <r>
    <x v="3"/>
    <x v="3"/>
    <n v="3.48"/>
    <n v="87"/>
    <n v="4.38"/>
    <n v="97"/>
    <d v="2023-03-23T03:00:00"/>
    <d v="2023-03-23T04:27:00"/>
    <d v="2023-03-23T02:56:00"/>
    <d v="2023-03-23T04:23:00"/>
    <x v="0"/>
    <x v="1"/>
    <x v="0"/>
    <x v="0"/>
  </r>
  <r>
    <x v="0"/>
    <x v="4"/>
    <n v="4.66"/>
    <n v="83"/>
    <n v="4.07"/>
    <n v="89"/>
    <d v="2023-03-23T03:10:00"/>
    <d v="2023-03-23T04:33:00"/>
    <d v="2023-03-23T03:11:00"/>
    <d v="2023-03-23T04:34:00"/>
    <x v="0"/>
    <x v="2"/>
    <x v="0"/>
    <x v="0"/>
  </r>
  <r>
    <x v="4"/>
    <x v="2"/>
    <n v="4.51"/>
    <n v="59"/>
    <n v="3.23"/>
    <n v="85"/>
    <d v="2023-03-23T03:20:00"/>
    <d v="2023-03-23T04:19:00"/>
    <d v="2023-03-23T03:15:00"/>
    <d v="2023-03-23T04:14:00"/>
    <x v="0"/>
    <x v="1"/>
    <x v="0"/>
    <x v="0"/>
  </r>
  <r>
    <x v="0"/>
    <x v="4"/>
    <n v="2.77"/>
    <n v="23"/>
    <n v="9.15"/>
    <n v="94"/>
    <d v="2023-03-23T03:30:00"/>
    <d v="2023-03-23T03:53:00"/>
    <d v="2023-03-23T03:34:00"/>
    <d v="2023-03-23T03:57:00"/>
    <x v="0"/>
    <x v="0"/>
    <x v="0"/>
    <x v="0"/>
  </r>
  <r>
    <x v="0"/>
    <x v="3"/>
    <n v="3.71"/>
    <n v="80"/>
    <n v="8.73"/>
    <n v="96"/>
    <d v="2023-03-23T03:40:00"/>
    <d v="2023-03-23T05:00:00"/>
    <d v="2023-03-23T04:09:00"/>
    <d v="2023-03-23T05:29:00"/>
    <x v="1"/>
    <x v="1"/>
    <x v="0"/>
    <x v="0"/>
  </r>
  <r>
    <x v="0"/>
    <x v="2"/>
    <n v="1.81"/>
    <n v="114"/>
    <n v="8.34"/>
    <n v="89"/>
    <d v="2023-03-23T03:50:00"/>
    <d v="2023-03-23T05:44:00"/>
    <d v="2023-03-23T04:18:00"/>
    <d v="2023-03-23T06:12:00"/>
    <x v="1"/>
    <x v="1"/>
    <x v="0"/>
    <x v="0"/>
  </r>
  <r>
    <x v="1"/>
    <x v="0"/>
    <n v="2.08"/>
    <n v="74"/>
    <n v="7.6"/>
    <n v="90"/>
    <d v="2023-03-23T04:00:00"/>
    <d v="2023-03-23T05:14:00"/>
    <d v="2023-03-23T04:12:00"/>
    <d v="2023-03-23T05:26:00"/>
    <x v="1"/>
    <x v="1"/>
    <x v="0"/>
    <x v="0"/>
  </r>
  <r>
    <x v="3"/>
    <x v="3"/>
    <n v="2.46"/>
    <n v="56"/>
    <n v="13.15"/>
    <n v="82"/>
    <d v="2023-03-23T04:10:00"/>
    <d v="2023-03-23T05:06:00"/>
    <d v="2023-03-23T04:30:00"/>
    <d v="2023-03-23T05:26:00"/>
    <x v="1"/>
    <x v="1"/>
    <x v="0"/>
    <x v="0"/>
  </r>
  <r>
    <x v="4"/>
    <x v="2"/>
    <n v="3.94"/>
    <n v="60"/>
    <n v="8.6199999999999992"/>
    <n v="96"/>
    <d v="2023-03-23T04:20:00"/>
    <d v="2023-03-23T05:20:00"/>
    <m/>
    <m/>
    <x v="2"/>
    <x v="1"/>
    <x v="1"/>
    <x v="1"/>
  </r>
  <r>
    <x v="0"/>
    <x v="4"/>
    <n v="3.16"/>
    <n v="105"/>
    <n v="8.39"/>
    <n v="90"/>
    <d v="2023-03-23T04:30:00"/>
    <d v="2023-03-23T06:15:00"/>
    <d v="2023-03-23T04:25:00"/>
    <d v="2023-03-23T06:10:00"/>
    <x v="0"/>
    <x v="1"/>
    <x v="0"/>
    <x v="0"/>
  </r>
  <r>
    <x v="2"/>
    <x v="1"/>
    <n v="2.37"/>
    <n v="114"/>
    <n v="6.02"/>
    <n v="96"/>
    <d v="2023-03-23T04:40:00"/>
    <d v="2023-03-23T06:34:00"/>
    <m/>
    <m/>
    <x v="2"/>
    <x v="1"/>
    <x v="1"/>
    <x v="1"/>
  </r>
  <r>
    <x v="3"/>
    <x v="2"/>
    <n v="3.85"/>
    <n v="45"/>
    <n v="14.9"/>
    <n v="94"/>
    <d v="2023-03-23T04:50:00"/>
    <d v="2023-03-23T05:35:00"/>
    <d v="2023-03-23T05:02:00"/>
    <d v="2023-03-23T05:47:00"/>
    <x v="1"/>
    <x v="1"/>
    <x v="0"/>
    <x v="0"/>
  </r>
  <r>
    <x v="0"/>
    <x v="1"/>
    <n v="1.08"/>
    <n v="41"/>
    <n v="7.52"/>
    <n v="99"/>
    <d v="2023-03-23T05:00:00"/>
    <d v="2023-03-23T05:41:00"/>
    <d v="2023-03-23T05:05:00"/>
    <d v="2023-03-23T05:46:00"/>
    <x v="0"/>
    <x v="0"/>
    <x v="0"/>
    <x v="0"/>
  </r>
  <r>
    <x v="3"/>
    <x v="2"/>
    <n v="4.0999999999999996"/>
    <n v="39"/>
    <n v="9.1300000000000008"/>
    <n v="87"/>
    <d v="2023-03-23T05:10:00"/>
    <d v="2023-03-23T05:49:00"/>
    <d v="2023-03-23T05:26:00"/>
    <d v="2023-03-23T06:05:00"/>
    <x v="1"/>
    <x v="1"/>
    <x v="0"/>
    <x v="0"/>
  </r>
  <r>
    <x v="4"/>
    <x v="2"/>
    <n v="3.45"/>
    <n v="85"/>
    <n v="5.62"/>
    <n v="93"/>
    <d v="2023-03-23T05:20:00"/>
    <d v="2023-03-23T06:45:00"/>
    <m/>
    <m/>
    <x v="2"/>
    <x v="1"/>
    <x v="1"/>
    <x v="1"/>
  </r>
  <r>
    <x v="4"/>
    <x v="4"/>
    <n v="1.2"/>
    <n v="85"/>
    <n v="8.14"/>
    <n v="86"/>
    <d v="2023-03-23T05:30:00"/>
    <d v="2023-03-23T06:55:00"/>
    <d v="2023-03-23T05:29:00"/>
    <d v="2023-03-23T06:54:00"/>
    <x v="0"/>
    <x v="1"/>
    <x v="0"/>
    <x v="0"/>
  </r>
  <r>
    <x v="1"/>
    <x v="3"/>
    <n v="4.7699999999999996"/>
    <n v="41"/>
    <n v="6.24"/>
    <n v="95"/>
    <d v="2023-03-23T05:40:00"/>
    <d v="2023-03-23T06:21:00"/>
    <d v="2023-03-23T05:52:00"/>
    <d v="2023-03-23T06:33:00"/>
    <x v="1"/>
    <x v="1"/>
    <x v="0"/>
    <x v="0"/>
  </r>
  <r>
    <x v="3"/>
    <x v="2"/>
    <n v="4.7300000000000004"/>
    <n v="94"/>
    <n v="6.32"/>
    <n v="91"/>
    <d v="2023-03-23T05:50:00"/>
    <d v="2023-03-23T07:24:00"/>
    <d v="2023-03-23T06:18:00"/>
    <d v="2023-03-23T07:52:00"/>
    <x v="1"/>
    <x v="1"/>
    <x v="0"/>
    <x v="0"/>
  </r>
  <r>
    <x v="1"/>
    <x v="2"/>
    <n v="4.37"/>
    <n v="81"/>
    <n v="13.22"/>
    <n v="85"/>
    <d v="2023-03-23T06:00:00"/>
    <d v="2023-03-23T07:21:00"/>
    <m/>
    <m/>
    <x v="2"/>
    <x v="1"/>
    <x v="1"/>
    <x v="1"/>
  </r>
  <r>
    <x v="2"/>
    <x v="0"/>
    <n v="1.76"/>
    <n v="77"/>
    <n v="12.33"/>
    <n v="92"/>
    <d v="2023-03-23T06:10:00"/>
    <d v="2023-03-23T07:27:00"/>
    <d v="2023-03-23T06:08:00"/>
    <d v="2023-03-23T07:25:00"/>
    <x v="0"/>
    <x v="1"/>
    <x v="0"/>
    <x v="0"/>
  </r>
  <r>
    <x v="1"/>
    <x v="0"/>
    <n v="2.54"/>
    <n v="38"/>
    <n v="11.54"/>
    <n v="84"/>
    <d v="2023-03-23T06:20:00"/>
    <d v="2023-03-23T06:58:00"/>
    <d v="2023-03-23T06:18:00"/>
    <d v="2023-03-23T06:56:00"/>
    <x v="0"/>
    <x v="1"/>
    <x v="0"/>
    <x v="0"/>
  </r>
  <r>
    <x v="4"/>
    <x v="4"/>
    <n v="1.35"/>
    <n v="80"/>
    <n v="12.83"/>
    <n v="99"/>
    <d v="2023-03-23T06:30:00"/>
    <d v="2023-03-23T07:50:00"/>
    <d v="2023-03-23T06:31:00"/>
    <d v="2023-03-23T07:51:00"/>
    <x v="0"/>
    <x v="0"/>
    <x v="0"/>
    <x v="0"/>
  </r>
  <r>
    <x v="3"/>
    <x v="3"/>
    <n v="2.52"/>
    <n v="80"/>
    <n v="13.55"/>
    <n v="81"/>
    <d v="2023-03-23T06:40:00"/>
    <d v="2023-03-23T08:00:00"/>
    <m/>
    <m/>
    <x v="2"/>
    <x v="1"/>
    <x v="1"/>
    <x v="1"/>
  </r>
  <r>
    <x v="1"/>
    <x v="3"/>
    <n v="1.5"/>
    <n v="42"/>
    <n v="5.4"/>
    <n v="91"/>
    <d v="2023-03-23T06:50:00"/>
    <d v="2023-03-23T07:32:00"/>
    <d v="2023-03-23T07:14:00"/>
    <d v="2023-03-23T07:56:00"/>
    <x v="1"/>
    <x v="1"/>
    <x v="0"/>
    <x v="0"/>
  </r>
  <r>
    <x v="3"/>
    <x v="2"/>
    <n v="4.22"/>
    <n v="51"/>
    <n v="4.22"/>
    <n v="80"/>
    <d v="2023-03-23T07:00:00"/>
    <d v="2023-03-23T07:51:00"/>
    <d v="2023-03-23T07:02:00"/>
    <d v="2023-03-23T07:53:00"/>
    <x v="0"/>
    <x v="2"/>
    <x v="0"/>
    <x v="0"/>
  </r>
  <r>
    <x v="3"/>
    <x v="1"/>
    <n v="3.67"/>
    <n v="27"/>
    <n v="3.19"/>
    <n v="85"/>
    <d v="2023-03-23T07:10:00"/>
    <d v="2023-03-23T07:37:00"/>
    <d v="2023-03-23T07:14:00"/>
    <d v="2023-03-23T07:41:00"/>
    <x v="0"/>
    <x v="2"/>
    <x v="0"/>
    <x v="0"/>
  </r>
  <r>
    <x v="2"/>
    <x v="4"/>
    <n v="3.22"/>
    <n v="96"/>
    <n v="4.28"/>
    <n v="80"/>
    <d v="2023-03-23T07:20:00"/>
    <d v="2023-03-23T08:56:00"/>
    <m/>
    <m/>
    <x v="2"/>
    <x v="1"/>
    <x v="1"/>
    <x v="1"/>
  </r>
  <r>
    <x v="1"/>
    <x v="1"/>
    <n v="1.79"/>
    <n v="101"/>
    <n v="5.32"/>
    <n v="80"/>
    <d v="2023-03-23T07:30:00"/>
    <d v="2023-03-23T09:11:00"/>
    <d v="2023-03-23T07:31:00"/>
    <d v="2023-03-23T09:12:00"/>
    <x v="0"/>
    <x v="2"/>
    <x v="0"/>
    <x v="0"/>
  </r>
  <r>
    <x v="1"/>
    <x v="3"/>
    <n v="3.19"/>
    <n v="92"/>
    <n v="4.96"/>
    <n v="85"/>
    <d v="2023-03-23T07:40:00"/>
    <d v="2023-03-23T09:12:00"/>
    <d v="2023-03-23T07:41:00"/>
    <d v="2023-03-23T09:13:00"/>
    <x v="0"/>
    <x v="2"/>
    <x v="0"/>
    <x v="0"/>
  </r>
  <r>
    <x v="0"/>
    <x v="1"/>
    <n v="1.24"/>
    <n v="91"/>
    <n v="2.78"/>
    <n v="86"/>
    <d v="2023-03-23T07:50:00"/>
    <d v="2023-03-23T09:21:00"/>
    <d v="2023-03-23T07:48:00"/>
    <d v="2023-03-23T09:19:00"/>
    <x v="0"/>
    <x v="1"/>
    <x v="0"/>
    <x v="0"/>
  </r>
  <r>
    <x v="2"/>
    <x v="2"/>
    <n v="3.07"/>
    <n v="66"/>
    <n v="7.93"/>
    <n v="94"/>
    <d v="2023-03-23T08:00:00"/>
    <d v="2023-03-23T09:06:00"/>
    <d v="2023-03-23T08:25:00"/>
    <d v="2023-03-23T09:31:00"/>
    <x v="1"/>
    <x v="1"/>
    <x v="0"/>
    <x v="0"/>
  </r>
  <r>
    <x v="1"/>
    <x v="4"/>
    <n v="2.4300000000000002"/>
    <n v="40"/>
    <n v="14.48"/>
    <n v="80"/>
    <d v="2023-03-23T08:10:00"/>
    <d v="2023-03-23T08:50:00"/>
    <d v="2023-03-23T08:15:00"/>
    <d v="2023-03-23T08:55:00"/>
    <x v="0"/>
    <x v="0"/>
    <x v="0"/>
    <x v="0"/>
  </r>
  <r>
    <x v="1"/>
    <x v="2"/>
    <n v="2.2000000000000002"/>
    <n v="119"/>
    <n v="4.5599999999999996"/>
    <n v="81"/>
    <d v="2023-03-23T08:20:00"/>
    <d v="2023-03-23T10:19:00"/>
    <m/>
    <m/>
    <x v="2"/>
    <x v="1"/>
    <x v="1"/>
    <x v="1"/>
  </r>
  <r>
    <x v="0"/>
    <x v="1"/>
    <n v="2.69"/>
    <n v="32"/>
    <n v="9.08"/>
    <n v="97"/>
    <d v="2023-03-23T08:30:00"/>
    <d v="2023-03-23T09:02:00"/>
    <d v="2023-03-23T08:32:00"/>
    <d v="2023-03-23T09:04:00"/>
    <x v="0"/>
    <x v="0"/>
    <x v="0"/>
    <x v="0"/>
  </r>
  <r>
    <x v="1"/>
    <x v="2"/>
    <n v="4.78"/>
    <n v="117"/>
    <n v="12.68"/>
    <n v="87"/>
    <d v="2023-03-23T08:40:00"/>
    <d v="2023-03-23T10:37:00"/>
    <d v="2023-03-23T08:39:00"/>
    <d v="2023-03-23T10:36:00"/>
    <x v="0"/>
    <x v="1"/>
    <x v="0"/>
    <x v="0"/>
  </r>
  <r>
    <x v="3"/>
    <x v="0"/>
    <n v="1.51"/>
    <n v="117"/>
    <n v="5.72"/>
    <n v="90"/>
    <d v="2023-03-23T08:50:00"/>
    <d v="2023-03-23T10:47:00"/>
    <m/>
    <m/>
    <x v="2"/>
    <x v="1"/>
    <x v="1"/>
    <x v="1"/>
  </r>
  <r>
    <x v="0"/>
    <x v="0"/>
    <n v="2.08"/>
    <n v="30"/>
    <n v="12.34"/>
    <n v="84"/>
    <d v="2023-03-23T09:00:00"/>
    <d v="2023-03-23T09:30:00"/>
    <d v="2023-03-23T09:11:00"/>
    <d v="2023-03-23T09:41:00"/>
    <x v="1"/>
    <x v="1"/>
    <x v="0"/>
    <x v="0"/>
  </r>
  <r>
    <x v="4"/>
    <x v="1"/>
    <n v="4.4800000000000004"/>
    <n v="67"/>
    <n v="6.24"/>
    <n v="94"/>
    <d v="2023-03-23T09:10:00"/>
    <d v="2023-03-23T10:17:00"/>
    <d v="2023-03-23T09:34:00"/>
    <d v="2023-03-23T10:41:00"/>
    <x v="1"/>
    <x v="1"/>
    <x v="0"/>
    <x v="0"/>
  </r>
  <r>
    <x v="1"/>
    <x v="2"/>
    <n v="4.22"/>
    <n v="49"/>
    <n v="4.45"/>
    <n v="96"/>
    <d v="2023-03-23T09:20:00"/>
    <d v="2023-03-23T10:09:00"/>
    <d v="2023-03-23T09:47:00"/>
    <d v="2023-03-23T10:36:00"/>
    <x v="1"/>
    <x v="1"/>
    <x v="0"/>
    <x v="0"/>
  </r>
  <r>
    <x v="2"/>
    <x v="1"/>
    <n v="4.63"/>
    <n v="119"/>
    <n v="2.06"/>
    <n v="97"/>
    <d v="2023-03-23T09:30:00"/>
    <d v="2023-03-23T11:29:00"/>
    <d v="2023-03-23T09:27:00"/>
    <d v="2023-03-23T11:26:00"/>
    <x v="0"/>
    <x v="1"/>
    <x v="0"/>
    <x v="0"/>
  </r>
  <r>
    <x v="2"/>
    <x v="1"/>
    <n v="2.94"/>
    <n v="115"/>
    <n v="13.99"/>
    <n v="97"/>
    <d v="2023-03-23T09:40:00"/>
    <d v="2023-03-23T11:35:00"/>
    <d v="2023-03-23T09:38:00"/>
    <d v="2023-03-23T11:33:00"/>
    <x v="0"/>
    <x v="1"/>
    <x v="0"/>
    <x v="0"/>
  </r>
  <r>
    <x v="1"/>
    <x v="4"/>
    <n v="2.0699999999999998"/>
    <n v="31"/>
    <n v="2.33"/>
    <n v="82"/>
    <d v="2023-03-23T09:50:00"/>
    <d v="2023-03-23T10:21:00"/>
    <d v="2023-03-23T09:47:00"/>
    <d v="2023-03-23T10:18:00"/>
    <x v="0"/>
    <x v="1"/>
    <x v="0"/>
    <x v="0"/>
  </r>
  <r>
    <x v="2"/>
    <x v="2"/>
    <n v="4.0199999999999996"/>
    <n v="82"/>
    <n v="6.14"/>
    <n v="81"/>
    <d v="2023-03-23T10:00:00"/>
    <d v="2023-03-23T11:22:00"/>
    <d v="2023-03-23T09:56:00"/>
    <d v="2023-03-23T11:18:00"/>
    <x v="0"/>
    <x v="1"/>
    <x v="0"/>
    <x v="0"/>
  </r>
  <r>
    <x v="2"/>
    <x v="2"/>
    <n v="4.08"/>
    <n v="71"/>
    <n v="8.52"/>
    <n v="82"/>
    <d v="2023-03-23T10:10:00"/>
    <d v="2023-03-23T11:21:00"/>
    <d v="2023-03-23T10:37:00"/>
    <d v="2023-03-23T11:48:00"/>
    <x v="1"/>
    <x v="1"/>
    <x v="0"/>
    <x v="0"/>
  </r>
  <r>
    <x v="0"/>
    <x v="3"/>
    <n v="4.41"/>
    <n v="54"/>
    <n v="6.6"/>
    <n v="84"/>
    <d v="2023-03-23T10:20:00"/>
    <d v="2023-03-23T11:14:00"/>
    <d v="2023-03-23T10:16:00"/>
    <d v="2023-03-23T11:10:00"/>
    <x v="0"/>
    <x v="1"/>
    <x v="0"/>
    <x v="0"/>
  </r>
  <r>
    <x v="3"/>
    <x v="0"/>
    <n v="2.13"/>
    <n v="27"/>
    <n v="6.99"/>
    <n v="94"/>
    <d v="2023-03-23T10:30:00"/>
    <d v="2023-03-23T10:57:00"/>
    <d v="2023-03-23T10:29:00"/>
    <d v="2023-03-23T10:56:00"/>
    <x v="0"/>
    <x v="1"/>
    <x v="0"/>
    <x v="0"/>
  </r>
  <r>
    <x v="3"/>
    <x v="2"/>
    <n v="2.04"/>
    <n v="20"/>
    <n v="10.93"/>
    <n v="87"/>
    <d v="2023-03-23T10:40:00"/>
    <d v="2023-03-23T11:00:00"/>
    <d v="2023-03-23T10:38:00"/>
    <d v="2023-03-23T10:58:00"/>
    <x v="0"/>
    <x v="1"/>
    <x v="0"/>
    <x v="0"/>
  </r>
  <r>
    <x v="0"/>
    <x v="1"/>
    <n v="2.97"/>
    <n v="74"/>
    <n v="14.94"/>
    <n v="85"/>
    <d v="2023-03-23T10:50:00"/>
    <d v="2023-03-23T12:04:00"/>
    <m/>
    <m/>
    <x v="2"/>
    <x v="1"/>
    <x v="1"/>
    <x v="1"/>
  </r>
  <r>
    <x v="1"/>
    <x v="1"/>
    <n v="2.11"/>
    <n v="98"/>
    <n v="11.77"/>
    <n v="97"/>
    <d v="2023-03-23T11:00:00"/>
    <d v="2023-03-23T12:38:00"/>
    <d v="2023-03-23T10:56:00"/>
    <d v="2023-03-23T12:34:00"/>
    <x v="0"/>
    <x v="1"/>
    <x v="0"/>
    <x v="0"/>
  </r>
  <r>
    <x v="0"/>
    <x v="1"/>
    <n v="4.5999999999999996"/>
    <n v="58"/>
    <n v="11.98"/>
    <n v="94"/>
    <d v="2023-03-23T11:10:00"/>
    <d v="2023-03-23T12:08:00"/>
    <d v="2023-03-23T11:12:00"/>
    <d v="2023-03-23T12:10:00"/>
    <x v="0"/>
    <x v="0"/>
    <x v="0"/>
    <x v="0"/>
  </r>
  <r>
    <x v="0"/>
    <x v="4"/>
    <n v="3.46"/>
    <n v="38"/>
    <n v="12.99"/>
    <n v="93"/>
    <d v="2023-03-23T11:20:00"/>
    <d v="2023-03-23T11:58:00"/>
    <m/>
    <m/>
    <x v="2"/>
    <x v="1"/>
    <x v="1"/>
    <x v="1"/>
  </r>
  <r>
    <x v="0"/>
    <x v="1"/>
    <n v="1.17"/>
    <n v="75"/>
    <n v="12.89"/>
    <n v="84"/>
    <d v="2023-03-23T11:30:00"/>
    <d v="2023-03-23T12:45:00"/>
    <d v="2023-03-23T11:31:00"/>
    <d v="2023-03-23T12:46:00"/>
    <x v="0"/>
    <x v="0"/>
    <x v="0"/>
    <x v="0"/>
  </r>
  <r>
    <x v="1"/>
    <x v="4"/>
    <n v="2.52"/>
    <n v="53"/>
    <n v="6.9"/>
    <n v="87"/>
    <d v="2023-03-23T11:40:00"/>
    <d v="2023-03-23T12:33:00"/>
    <m/>
    <m/>
    <x v="2"/>
    <x v="1"/>
    <x v="1"/>
    <x v="1"/>
  </r>
  <r>
    <x v="2"/>
    <x v="2"/>
    <n v="3.2"/>
    <n v="98"/>
    <n v="7.96"/>
    <n v="86"/>
    <d v="2023-03-23T11:50:00"/>
    <d v="2023-03-23T13:28:00"/>
    <d v="2023-03-23T11:53:00"/>
    <d v="2023-03-23T13:31:00"/>
    <x v="0"/>
    <x v="2"/>
    <x v="0"/>
    <x v="0"/>
  </r>
  <r>
    <x v="4"/>
    <x v="4"/>
    <n v="2.97"/>
    <n v="35"/>
    <n v="5.72"/>
    <n v="88"/>
    <d v="2023-03-23T12:00:00"/>
    <d v="2023-03-23T12:35:00"/>
    <d v="2023-03-23T12:16:00"/>
    <d v="2023-03-23T12:51:00"/>
    <x v="1"/>
    <x v="1"/>
    <x v="0"/>
    <x v="0"/>
  </r>
  <r>
    <x v="4"/>
    <x v="3"/>
    <n v="1.1399999999999999"/>
    <n v="30"/>
    <n v="7.66"/>
    <n v="96"/>
    <d v="2023-03-23T12:10:00"/>
    <d v="2023-03-23T12:40:00"/>
    <d v="2023-03-23T12:13:00"/>
    <d v="2023-03-23T12:43:00"/>
    <x v="0"/>
    <x v="2"/>
    <x v="0"/>
    <x v="0"/>
  </r>
  <r>
    <x v="3"/>
    <x v="2"/>
    <n v="2.57"/>
    <n v="36"/>
    <n v="13.05"/>
    <n v="80"/>
    <d v="2023-03-23T12:20:00"/>
    <d v="2023-03-23T12:56:00"/>
    <d v="2023-03-23T12:25:00"/>
    <d v="2023-03-23T13:01:00"/>
    <x v="0"/>
    <x v="0"/>
    <x v="0"/>
    <x v="0"/>
  </r>
  <r>
    <x v="2"/>
    <x v="3"/>
    <n v="2.4300000000000002"/>
    <n v="94"/>
    <n v="6.97"/>
    <n v="87"/>
    <d v="2023-03-23T12:30:00"/>
    <d v="2023-03-23T14:04:00"/>
    <d v="2023-03-23T12:46:00"/>
    <d v="2023-03-23T14:20:00"/>
    <x v="1"/>
    <x v="1"/>
    <x v="0"/>
    <x v="0"/>
  </r>
  <r>
    <x v="2"/>
    <x v="0"/>
    <n v="1.56"/>
    <n v="69"/>
    <n v="12.09"/>
    <n v="90"/>
    <d v="2023-03-23T12:40:00"/>
    <d v="2023-03-23T13:49:00"/>
    <d v="2023-03-23T12:58:00"/>
    <d v="2023-03-23T14:07:00"/>
    <x v="1"/>
    <x v="1"/>
    <x v="0"/>
    <x v="0"/>
  </r>
  <r>
    <x v="3"/>
    <x v="4"/>
    <n v="1.7"/>
    <n v="74"/>
    <n v="7.82"/>
    <n v="93"/>
    <d v="2023-03-23T12:50:00"/>
    <d v="2023-03-23T14:04:00"/>
    <d v="2023-03-23T12:53:00"/>
    <d v="2023-03-23T14:07:00"/>
    <x v="0"/>
    <x v="2"/>
    <x v="0"/>
    <x v="0"/>
  </r>
  <r>
    <x v="3"/>
    <x v="4"/>
    <n v="3.87"/>
    <n v="90"/>
    <n v="2.72"/>
    <n v="87"/>
    <d v="2023-03-23T13:00:00"/>
    <d v="2023-03-23T14:30:00"/>
    <d v="2023-03-23T12:56:00"/>
    <d v="2023-03-23T14:26:00"/>
    <x v="0"/>
    <x v="1"/>
    <x v="0"/>
    <x v="0"/>
  </r>
  <r>
    <x v="1"/>
    <x v="2"/>
    <n v="4.6399999999999997"/>
    <n v="110"/>
    <n v="12.13"/>
    <n v="98"/>
    <d v="2023-03-23T13:10:00"/>
    <d v="2023-03-23T15:00:00"/>
    <d v="2023-03-23T13:37:00"/>
    <d v="2023-03-23T15:27:00"/>
    <x v="1"/>
    <x v="1"/>
    <x v="0"/>
    <x v="0"/>
  </r>
  <r>
    <x v="0"/>
    <x v="0"/>
    <n v="1.51"/>
    <n v="50"/>
    <n v="3.29"/>
    <n v="87"/>
    <d v="2023-03-23T13:20:00"/>
    <d v="2023-03-23T14:10:00"/>
    <m/>
    <m/>
    <x v="2"/>
    <x v="1"/>
    <x v="1"/>
    <x v="1"/>
  </r>
  <r>
    <x v="2"/>
    <x v="3"/>
    <n v="3.57"/>
    <n v="117"/>
    <n v="8.5299999999999994"/>
    <n v="98"/>
    <d v="2023-03-23T13:30:00"/>
    <d v="2023-03-23T15:27:00"/>
    <d v="2023-03-23T13:26:00"/>
    <d v="2023-03-23T15:23:00"/>
    <x v="0"/>
    <x v="1"/>
    <x v="0"/>
    <x v="0"/>
  </r>
  <r>
    <x v="1"/>
    <x v="0"/>
    <n v="2.89"/>
    <n v="120"/>
    <n v="10.96"/>
    <n v="97"/>
    <d v="2023-03-23T13:40:00"/>
    <d v="2023-03-23T15:40:00"/>
    <d v="2023-03-23T13:56:00"/>
    <d v="2023-03-23T15:56:00"/>
    <x v="1"/>
    <x v="1"/>
    <x v="0"/>
    <x v="0"/>
  </r>
  <r>
    <x v="4"/>
    <x v="0"/>
    <n v="4.24"/>
    <n v="29"/>
    <n v="11.47"/>
    <n v="83"/>
    <d v="2023-03-23T13:50:00"/>
    <d v="2023-03-23T14:19:00"/>
    <d v="2023-03-23T13:48:00"/>
    <d v="2023-03-23T14:17:00"/>
    <x v="0"/>
    <x v="1"/>
    <x v="0"/>
    <x v="0"/>
  </r>
  <r>
    <x v="1"/>
    <x v="0"/>
    <n v="1.74"/>
    <n v="67"/>
    <n v="7.84"/>
    <n v="82"/>
    <d v="2023-03-23T14:00:00"/>
    <d v="2023-03-23T15:07:00"/>
    <d v="2023-03-23T13:57:00"/>
    <d v="2023-03-23T15:04:00"/>
    <x v="0"/>
    <x v="1"/>
    <x v="0"/>
    <x v="0"/>
  </r>
  <r>
    <x v="1"/>
    <x v="4"/>
    <n v="1.9"/>
    <n v="32"/>
    <n v="2.3199999999999998"/>
    <n v="92"/>
    <d v="2023-03-23T14:10:00"/>
    <d v="2023-03-23T14:42:00"/>
    <d v="2023-03-23T14:15:00"/>
    <d v="2023-03-23T14:47:00"/>
    <x v="0"/>
    <x v="2"/>
    <x v="0"/>
    <x v="0"/>
  </r>
  <r>
    <x v="1"/>
    <x v="4"/>
    <n v="1.1200000000000001"/>
    <n v="113"/>
    <n v="12.41"/>
    <n v="84"/>
    <d v="2023-03-23T14:20:00"/>
    <d v="2023-03-23T16:13:00"/>
    <d v="2023-03-23T14:40:00"/>
    <d v="2023-03-23T16:33:00"/>
    <x v="1"/>
    <x v="1"/>
    <x v="0"/>
    <x v="0"/>
  </r>
  <r>
    <x v="2"/>
    <x v="4"/>
    <n v="1.66"/>
    <n v="26"/>
    <n v="6.33"/>
    <n v="85"/>
    <d v="2023-03-23T14:30:00"/>
    <d v="2023-03-23T14:56:00"/>
    <d v="2023-03-23T14:30:00"/>
    <d v="2023-03-23T14:56:00"/>
    <x v="0"/>
    <x v="2"/>
    <x v="0"/>
    <x v="0"/>
  </r>
  <r>
    <x v="4"/>
    <x v="3"/>
    <n v="1.83"/>
    <n v="87"/>
    <n v="6.72"/>
    <n v="90"/>
    <d v="2023-03-23T14:40:00"/>
    <d v="2023-03-23T16:07:00"/>
    <d v="2023-03-23T14:43:00"/>
    <d v="2023-03-23T16:10:00"/>
    <x v="0"/>
    <x v="2"/>
    <x v="0"/>
    <x v="0"/>
  </r>
  <r>
    <x v="1"/>
    <x v="2"/>
    <n v="4.1399999999999997"/>
    <n v="76"/>
    <n v="11.27"/>
    <n v="99"/>
    <d v="2023-03-23T14:50:00"/>
    <d v="2023-03-23T16:06:00"/>
    <d v="2023-03-23T14:52:00"/>
    <d v="2023-03-23T16:08:00"/>
    <x v="0"/>
    <x v="0"/>
    <x v="0"/>
    <x v="0"/>
  </r>
  <r>
    <x v="3"/>
    <x v="1"/>
    <n v="2.65"/>
    <n v="84"/>
    <n v="11.37"/>
    <n v="82"/>
    <d v="2023-03-23T15:00:00"/>
    <d v="2023-03-23T16:24:00"/>
    <m/>
    <m/>
    <x v="2"/>
    <x v="1"/>
    <x v="1"/>
    <x v="1"/>
  </r>
  <r>
    <x v="1"/>
    <x v="0"/>
    <n v="4.25"/>
    <n v="97"/>
    <n v="3.23"/>
    <n v="82"/>
    <d v="2023-03-23T15:10:00"/>
    <d v="2023-03-23T16:47:00"/>
    <d v="2023-03-23T15:13:00"/>
    <d v="2023-03-23T16:50:00"/>
    <x v="0"/>
    <x v="2"/>
    <x v="0"/>
    <x v="0"/>
  </r>
  <r>
    <x v="4"/>
    <x v="2"/>
    <n v="3.92"/>
    <n v="21"/>
    <n v="12.69"/>
    <n v="81"/>
    <d v="2023-03-23T15:20:00"/>
    <d v="2023-03-23T15:41:00"/>
    <m/>
    <m/>
    <x v="2"/>
    <x v="1"/>
    <x v="1"/>
    <x v="1"/>
  </r>
  <r>
    <x v="1"/>
    <x v="0"/>
    <n v="2.5499999999999998"/>
    <n v="98"/>
    <n v="8.86"/>
    <n v="81"/>
    <d v="2023-03-23T15:30:00"/>
    <d v="2023-03-23T17:08:00"/>
    <d v="2023-03-23T15:47:00"/>
    <d v="2023-03-23T17:25:00"/>
    <x v="1"/>
    <x v="1"/>
    <x v="0"/>
    <x v="0"/>
  </r>
  <r>
    <x v="4"/>
    <x v="0"/>
    <n v="1.83"/>
    <n v="112"/>
    <n v="3.11"/>
    <n v="95"/>
    <d v="2023-03-23T15:40:00"/>
    <d v="2023-03-23T17:32:00"/>
    <d v="2023-03-23T15:38:00"/>
    <d v="2023-03-23T17:30:00"/>
    <x v="0"/>
    <x v="1"/>
    <x v="0"/>
    <x v="0"/>
  </r>
  <r>
    <x v="1"/>
    <x v="3"/>
    <n v="2.13"/>
    <n v="87"/>
    <n v="5.3"/>
    <n v="95"/>
    <d v="2023-03-23T15:50:00"/>
    <d v="2023-03-23T17:17:00"/>
    <d v="2023-03-23T15:48:00"/>
    <d v="2023-03-23T17:15:00"/>
    <x v="0"/>
    <x v="1"/>
    <x v="0"/>
    <x v="0"/>
  </r>
  <r>
    <x v="0"/>
    <x v="4"/>
    <n v="2.2999999999999998"/>
    <n v="59"/>
    <n v="4.32"/>
    <n v="95"/>
    <d v="2023-03-23T16:00:00"/>
    <d v="2023-03-23T16:59:00"/>
    <d v="2023-03-23T16:04:00"/>
    <d v="2023-03-23T17:03:00"/>
    <x v="0"/>
    <x v="2"/>
    <x v="0"/>
    <x v="0"/>
  </r>
  <r>
    <x v="3"/>
    <x v="0"/>
    <n v="4.21"/>
    <n v="105"/>
    <n v="9.9600000000000009"/>
    <n v="93"/>
    <d v="2023-03-23T16:10:00"/>
    <d v="2023-03-23T17:55:00"/>
    <d v="2023-03-23T16:37:00"/>
    <d v="2023-03-23T18:22:00"/>
    <x v="1"/>
    <x v="1"/>
    <x v="0"/>
    <x v="0"/>
  </r>
  <r>
    <x v="3"/>
    <x v="1"/>
    <n v="3.69"/>
    <n v="103"/>
    <n v="2.21"/>
    <n v="95"/>
    <d v="2023-03-23T16:20:00"/>
    <d v="2023-03-23T18:03:00"/>
    <d v="2023-03-23T16:16:00"/>
    <d v="2023-03-23T17:59:00"/>
    <x v="0"/>
    <x v="1"/>
    <x v="0"/>
    <x v="0"/>
  </r>
  <r>
    <x v="1"/>
    <x v="3"/>
    <n v="3.81"/>
    <n v="71"/>
    <n v="12.02"/>
    <n v="94"/>
    <d v="2023-03-23T16:30:00"/>
    <d v="2023-03-23T17:41:00"/>
    <d v="2023-03-23T16:43:00"/>
    <d v="2023-03-23T17:54:00"/>
    <x v="1"/>
    <x v="1"/>
    <x v="0"/>
    <x v="0"/>
  </r>
  <r>
    <x v="3"/>
    <x v="0"/>
    <n v="1.9"/>
    <n v="120"/>
    <n v="6.96"/>
    <n v="87"/>
    <d v="2023-03-23T16:40:00"/>
    <d v="2023-03-23T18:40:00"/>
    <m/>
    <m/>
    <x v="2"/>
    <x v="1"/>
    <x v="1"/>
    <x v="1"/>
  </r>
  <r>
    <x v="0"/>
    <x v="1"/>
    <n v="2.4300000000000002"/>
    <n v="69"/>
    <n v="13.76"/>
    <n v="80"/>
    <d v="2023-03-23T16:50:00"/>
    <d v="2023-03-23T17:59:00"/>
    <d v="2023-03-23T16:47:00"/>
    <d v="2023-03-23T17:56:00"/>
    <x v="0"/>
    <x v="1"/>
    <x v="0"/>
    <x v="0"/>
  </r>
  <r>
    <x v="4"/>
    <x v="2"/>
    <n v="4.7300000000000004"/>
    <n v="34"/>
    <n v="3"/>
    <n v="92"/>
    <d v="2023-03-23T17:00:00"/>
    <d v="2023-03-23T17:34:00"/>
    <d v="2023-03-23T17:05:00"/>
    <d v="2023-03-23T17:39:00"/>
    <x v="0"/>
    <x v="2"/>
    <x v="0"/>
    <x v="0"/>
  </r>
  <r>
    <x v="4"/>
    <x v="3"/>
    <n v="1.86"/>
    <n v="118"/>
    <n v="7.64"/>
    <n v="91"/>
    <d v="2023-03-23T17:10:00"/>
    <d v="2023-03-23T19:08:00"/>
    <d v="2023-03-23T17:10:00"/>
    <d v="2023-03-23T19:08:00"/>
    <x v="0"/>
    <x v="2"/>
    <x v="0"/>
    <x v="0"/>
  </r>
  <r>
    <x v="2"/>
    <x v="1"/>
    <n v="1.25"/>
    <n v="44"/>
    <n v="12.18"/>
    <n v="92"/>
    <d v="2023-03-23T17:20:00"/>
    <d v="2023-03-23T18:04:00"/>
    <d v="2023-03-23T17:36:00"/>
    <d v="2023-03-23T18:20:00"/>
    <x v="1"/>
    <x v="1"/>
    <x v="0"/>
    <x v="0"/>
  </r>
  <r>
    <x v="4"/>
    <x v="1"/>
    <n v="4.9000000000000004"/>
    <n v="75"/>
    <n v="13.52"/>
    <n v="82"/>
    <d v="2023-03-23T17:30:00"/>
    <d v="2023-03-23T18:45:00"/>
    <d v="2023-03-23T17:32:00"/>
    <d v="2023-03-23T18:47:00"/>
    <x v="0"/>
    <x v="0"/>
    <x v="0"/>
    <x v="0"/>
  </r>
  <r>
    <x v="0"/>
    <x v="0"/>
    <n v="3.67"/>
    <n v="64"/>
    <n v="3.28"/>
    <n v="90"/>
    <d v="2023-03-23T17:40:00"/>
    <d v="2023-03-23T18:44:00"/>
    <d v="2023-03-23T17:45:00"/>
    <d v="2023-03-23T18:49:00"/>
    <x v="0"/>
    <x v="2"/>
    <x v="0"/>
    <x v="0"/>
  </r>
  <r>
    <x v="4"/>
    <x v="0"/>
    <n v="2.2999999999999998"/>
    <n v="31"/>
    <n v="14.58"/>
    <n v="88"/>
    <d v="2023-03-23T17:50:00"/>
    <d v="2023-03-23T18:21:00"/>
    <d v="2023-03-23T18:00:00"/>
    <d v="2023-03-23T18:31:00"/>
    <x v="1"/>
    <x v="1"/>
    <x v="0"/>
    <x v="0"/>
  </r>
  <r>
    <x v="3"/>
    <x v="3"/>
    <n v="2.8"/>
    <n v="103"/>
    <n v="8.66"/>
    <n v="92"/>
    <d v="2023-03-23T18:00:00"/>
    <d v="2023-03-23T19:43:00"/>
    <d v="2023-03-23T17:57:00"/>
    <d v="2023-03-23T19:40:00"/>
    <x v="0"/>
    <x v="1"/>
    <x v="0"/>
    <x v="0"/>
  </r>
  <r>
    <x v="2"/>
    <x v="4"/>
    <n v="1.99"/>
    <n v="42"/>
    <n v="7.26"/>
    <n v="81"/>
    <d v="2023-03-23T18:10:00"/>
    <d v="2023-03-23T18:52:00"/>
    <d v="2023-03-23T18:05:00"/>
    <d v="2023-03-23T18:47:00"/>
    <x v="0"/>
    <x v="1"/>
    <x v="0"/>
    <x v="0"/>
  </r>
  <r>
    <x v="0"/>
    <x v="4"/>
    <n v="2.84"/>
    <n v="73"/>
    <n v="12.23"/>
    <n v="93"/>
    <d v="2023-03-23T18:20:00"/>
    <d v="2023-03-23T19:33:00"/>
    <d v="2023-03-23T18:20:00"/>
    <d v="2023-03-23T19:33:00"/>
    <x v="0"/>
    <x v="0"/>
    <x v="0"/>
    <x v="0"/>
  </r>
  <r>
    <x v="2"/>
    <x v="1"/>
    <n v="4.55"/>
    <n v="118"/>
    <n v="7.16"/>
    <n v="96"/>
    <d v="2023-03-23T18:30:00"/>
    <d v="2023-03-23T20:28:00"/>
    <d v="2023-03-23T18:29:00"/>
    <d v="2023-03-23T20:27:00"/>
    <x v="0"/>
    <x v="1"/>
    <x v="0"/>
    <x v="0"/>
  </r>
  <r>
    <x v="1"/>
    <x v="2"/>
    <n v="4.92"/>
    <n v="97"/>
    <n v="5.17"/>
    <n v="92"/>
    <d v="2023-03-23T18:40:00"/>
    <d v="2023-03-23T20:17:00"/>
    <d v="2023-03-23T18:38:00"/>
    <d v="2023-03-23T20:15:00"/>
    <x v="0"/>
    <x v="1"/>
    <x v="0"/>
    <x v="0"/>
  </r>
  <r>
    <x v="3"/>
    <x v="4"/>
    <n v="3.39"/>
    <n v="110"/>
    <n v="7.71"/>
    <n v="92"/>
    <d v="2023-03-23T18:50:00"/>
    <d v="2023-03-23T20:40:00"/>
    <d v="2023-03-23T18:46:00"/>
    <d v="2023-03-23T20:36:00"/>
    <x v="0"/>
    <x v="1"/>
    <x v="0"/>
    <x v="0"/>
  </r>
  <r>
    <x v="2"/>
    <x v="0"/>
    <n v="4.07"/>
    <n v="92"/>
    <n v="11.17"/>
    <n v="89"/>
    <d v="2023-03-23T19:00:00"/>
    <d v="2023-03-23T20:32:00"/>
    <d v="2023-03-23T19:00:00"/>
    <d v="2023-03-23T20:32:00"/>
    <x v="0"/>
    <x v="0"/>
    <x v="0"/>
    <x v="0"/>
  </r>
  <r>
    <x v="1"/>
    <x v="4"/>
    <n v="2.78"/>
    <n v="85"/>
    <n v="5.25"/>
    <n v="95"/>
    <d v="2023-03-23T19:10:00"/>
    <d v="2023-03-23T20:35:00"/>
    <m/>
    <m/>
    <x v="2"/>
    <x v="1"/>
    <x v="1"/>
    <x v="1"/>
  </r>
  <r>
    <x v="2"/>
    <x v="0"/>
    <n v="4.76"/>
    <n v="25"/>
    <n v="13.34"/>
    <n v="97"/>
    <d v="2023-03-23T19:20:00"/>
    <d v="2023-03-23T19:45:00"/>
    <m/>
    <m/>
    <x v="2"/>
    <x v="1"/>
    <x v="1"/>
    <x v="1"/>
  </r>
  <r>
    <x v="3"/>
    <x v="3"/>
    <n v="4.43"/>
    <n v="28"/>
    <n v="8.66"/>
    <n v="98"/>
    <d v="2023-03-23T19:30:00"/>
    <d v="2023-03-23T19:58:00"/>
    <d v="2023-03-23T19:25:00"/>
    <d v="2023-03-23T19:53:00"/>
    <x v="0"/>
    <x v="1"/>
    <x v="0"/>
    <x v="0"/>
  </r>
  <r>
    <x v="4"/>
    <x v="1"/>
    <n v="3.15"/>
    <n v="106"/>
    <n v="3.13"/>
    <n v="92"/>
    <d v="2023-03-23T19:40:00"/>
    <d v="2023-03-23T21:26:00"/>
    <d v="2023-03-23T19:36:00"/>
    <d v="2023-03-23T21:22:00"/>
    <x v="0"/>
    <x v="1"/>
    <x v="0"/>
    <x v="0"/>
  </r>
  <r>
    <x v="1"/>
    <x v="1"/>
    <n v="4.97"/>
    <n v="70"/>
    <n v="4.08"/>
    <n v="93"/>
    <d v="2023-03-23T19:50:00"/>
    <d v="2023-03-23T21:00:00"/>
    <d v="2023-03-23T19:54:00"/>
    <d v="2023-03-23T21:04:00"/>
    <x v="0"/>
    <x v="2"/>
    <x v="0"/>
    <x v="0"/>
  </r>
  <r>
    <x v="4"/>
    <x v="3"/>
    <n v="1.41"/>
    <n v="99"/>
    <n v="8.8000000000000007"/>
    <n v="90"/>
    <d v="2023-03-23T20:00:00"/>
    <d v="2023-03-23T21:39:00"/>
    <d v="2023-03-23T19:57:00"/>
    <d v="2023-03-23T21:36:00"/>
    <x v="0"/>
    <x v="1"/>
    <x v="0"/>
    <x v="0"/>
  </r>
  <r>
    <x v="3"/>
    <x v="3"/>
    <n v="3.28"/>
    <n v="93"/>
    <n v="6.66"/>
    <n v="80"/>
    <d v="2023-03-23T20:10:00"/>
    <d v="2023-03-23T21:43:00"/>
    <d v="2023-03-23T20:40:00"/>
    <d v="2023-03-23T22:13:00"/>
    <x v="1"/>
    <x v="1"/>
    <x v="0"/>
    <x v="0"/>
  </r>
  <r>
    <x v="0"/>
    <x v="4"/>
    <n v="4.17"/>
    <n v="109"/>
    <n v="3.07"/>
    <n v="88"/>
    <d v="2023-03-23T20:20:00"/>
    <d v="2023-03-23T22:09:00"/>
    <d v="2023-03-23T20:36:00"/>
    <d v="2023-03-23T22:25:00"/>
    <x v="1"/>
    <x v="1"/>
    <x v="0"/>
    <x v="0"/>
  </r>
  <r>
    <x v="0"/>
    <x v="0"/>
    <n v="3.76"/>
    <n v="119"/>
    <n v="11.52"/>
    <n v="97"/>
    <d v="2023-03-23T20:30:00"/>
    <d v="2023-03-23T22:29:00"/>
    <m/>
    <m/>
    <x v="2"/>
    <x v="1"/>
    <x v="1"/>
    <x v="1"/>
  </r>
  <r>
    <x v="2"/>
    <x v="2"/>
    <n v="4.21"/>
    <n v="99"/>
    <n v="2.67"/>
    <n v="94"/>
    <d v="2023-03-23T20:40:00"/>
    <d v="2023-03-23T22:19:00"/>
    <d v="2023-03-23T20:51:00"/>
    <d v="2023-03-23T22:30:00"/>
    <x v="1"/>
    <x v="1"/>
    <x v="0"/>
    <x v="0"/>
  </r>
  <r>
    <x v="4"/>
    <x v="3"/>
    <n v="3.76"/>
    <n v="44"/>
    <n v="10.31"/>
    <n v="89"/>
    <d v="2023-03-23T20:50:00"/>
    <d v="2023-03-23T21:34:00"/>
    <d v="2023-03-23T20:55:00"/>
    <d v="2023-03-23T21:39:00"/>
    <x v="0"/>
    <x v="0"/>
    <x v="0"/>
    <x v="0"/>
  </r>
  <r>
    <x v="3"/>
    <x v="3"/>
    <n v="4.7300000000000004"/>
    <n v="104"/>
    <n v="7.42"/>
    <n v="95"/>
    <d v="2023-03-23T21:00:00"/>
    <d v="2023-03-23T22:44:00"/>
    <d v="2023-03-23T21:13:00"/>
    <d v="2023-03-23T22:57:00"/>
    <x v="1"/>
    <x v="1"/>
    <x v="0"/>
    <x v="0"/>
  </r>
  <r>
    <x v="0"/>
    <x v="3"/>
    <n v="1.56"/>
    <n v="116"/>
    <n v="10.24"/>
    <n v="98"/>
    <d v="2023-03-23T21:10:00"/>
    <d v="2023-03-23T23:06:00"/>
    <d v="2023-03-23T21:29:00"/>
    <d v="2023-03-23T23:25:00"/>
    <x v="1"/>
    <x v="1"/>
    <x v="0"/>
    <x v="0"/>
  </r>
  <r>
    <x v="4"/>
    <x v="4"/>
    <n v="1.73"/>
    <n v="55"/>
    <n v="9.06"/>
    <n v="83"/>
    <d v="2023-03-23T21:20:00"/>
    <d v="2023-03-23T22:15:00"/>
    <d v="2023-03-23T21:16:00"/>
    <d v="2023-03-23T22:11:00"/>
    <x v="0"/>
    <x v="1"/>
    <x v="0"/>
    <x v="0"/>
  </r>
  <r>
    <x v="0"/>
    <x v="4"/>
    <n v="2.4300000000000002"/>
    <n v="114"/>
    <n v="8.67"/>
    <n v="83"/>
    <d v="2023-03-23T21:30:00"/>
    <d v="2023-03-23T23:24:00"/>
    <d v="2023-03-23T21:30:00"/>
    <d v="2023-03-23T23:24:00"/>
    <x v="0"/>
    <x v="2"/>
    <x v="0"/>
    <x v="0"/>
  </r>
  <r>
    <x v="2"/>
    <x v="1"/>
    <n v="3.26"/>
    <n v="104"/>
    <n v="9.3000000000000007"/>
    <n v="94"/>
    <d v="2023-03-23T21:40:00"/>
    <d v="2023-03-23T23:24:00"/>
    <m/>
    <m/>
    <x v="2"/>
    <x v="1"/>
    <x v="1"/>
    <x v="1"/>
  </r>
  <r>
    <x v="4"/>
    <x v="3"/>
    <n v="3.31"/>
    <n v="34"/>
    <n v="3.84"/>
    <n v="92"/>
    <d v="2023-03-23T21:50:00"/>
    <d v="2023-03-23T22:24:00"/>
    <d v="2023-03-23T21:46:00"/>
    <d v="2023-03-23T22:20:00"/>
    <x v="0"/>
    <x v="1"/>
    <x v="0"/>
    <x v="0"/>
  </r>
  <r>
    <x v="4"/>
    <x v="4"/>
    <n v="3.95"/>
    <n v="54"/>
    <n v="8.32"/>
    <n v="97"/>
    <d v="2023-03-23T22:00:00"/>
    <d v="2023-03-23T22:54:00"/>
    <d v="2023-03-23T22:05:00"/>
    <d v="2023-03-23T22:59:00"/>
    <x v="0"/>
    <x v="0"/>
    <x v="0"/>
    <x v="0"/>
  </r>
  <r>
    <x v="2"/>
    <x v="0"/>
    <n v="4.33"/>
    <n v="110"/>
    <n v="2.38"/>
    <n v="91"/>
    <d v="2023-03-23T22:10:00"/>
    <d v="2023-03-24T00:00:00"/>
    <d v="2023-03-23T22:05:00"/>
    <d v="2023-03-23T23:55:00"/>
    <x v="0"/>
    <x v="1"/>
    <x v="0"/>
    <x v="0"/>
  </r>
  <r>
    <x v="3"/>
    <x v="3"/>
    <n v="4.1100000000000003"/>
    <n v="99"/>
    <n v="7.53"/>
    <n v="85"/>
    <d v="2023-03-23T22:20:00"/>
    <d v="2023-03-23T23:59:00"/>
    <d v="2023-03-23T22:17:00"/>
    <d v="2023-03-23T23:56:00"/>
    <x v="0"/>
    <x v="1"/>
    <x v="0"/>
    <x v="0"/>
  </r>
  <r>
    <x v="3"/>
    <x v="4"/>
    <n v="4.7300000000000004"/>
    <n v="114"/>
    <n v="10.93"/>
    <n v="84"/>
    <d v="2023-03-23T22:30:00"/>
    <d v="2023-03-24T00:24:00"/>
    <d v="2023-03-23T22:25:00"/>
    <d v="2023-03-24T00:19:00"/>
    <x v="0"/>
    <x v="1"/>
    <x v="0"/>
    <x v="0"/>
  </r>
  <r>
    <x v="0"/>
    <x v="1"/>
    <n v="1.57"/>
    <n v="93"/>
    <n v="5.43"/>
    <n v="89"/>
    <d v="2023-03-23T22:40:00"/>
    <d v="2023-03-24T00:13:00"/>
    <d v="2023-03-23T22:35:00"/>
    <d v="2023-03-24T00:08:00"/>
    <x v="0"/>
    <x v="1"/>
    <x v="0"/>
    <x v="0"/>
  </r>
  <r>
    <x v="1"/>
    <x v="4"/>
    <n v="2.93"/>
    <n v="84"/>
    <n v="3.53"/>
    <n v="86"/>
    <d v="2023-03-23T22:50:00"/>
    <d v="2023-03-24T00:14:00"/>
    <d v="2023-03-23T22:48:00"/>
    <d v="2023-03-24T00:12:00"/>
    <x v="0"/>
    <x v="1"/>
    <x v="0"/>
    <x v="0"/>
  </r>
  <r>
    <x v="0"/>
    <x v="4"/>
    <n v="1.25"/>
    <n v="29"/>
    <n v="7.98"/>
    <n v="92"/>
    <d v="2023-03-23T23:00:00"/>
    <d v="2023-03-23T23:29:00"/>
    <d v="2023-03-23T23:05:00"/>
    <d v="2023-03-23T23:34:00"/>
    <x v="0"/>
    <x v="0"/>
    <x v="0"/>
    <x v="0"/>
  </r>
  <r>
    <x v="3"/>
    <x v="4"/>
    <n v="2.37"/>
    <n v="24"/>
    <n v="10.78"/>
    <n v="88"/>
    <d v="2023-03-23T23:10:00"/>
    <d v="2023-03-23T23:34:00"/>
    <d v="2023-03-23T23:14:00"/>
    <d v="2023-03-23T23:38:00"/>
    <x v="0"/>
    <x v="0"/>
    <x v="0"/>
    <x v="0"/>
  </r>
  <r>
    <x v="3"/>
    <x v="0"/>
    <n v="1.86"/>
    <n v="119"/>
    <n v="3.48"/>
    <n v="95"/>
    <d v="2023-03-23T23:20:00"/>
    <d v="2023-03-24T01:19:00"/>
    <d v="2023-03-23T23:21:00"/>
    <d v="2023-03-24T01:20:00"/>
    <x v="0"/>
    <x v="2"/>
    <x v="0"/>
    <x v="0"/>
  </r>
  <r>
    <x v="2"/>
    <x v="1"/>
    <n v="3.83"/>
    <n v="104"/>
    <n v="14.05"/>
    <n v="91"/>
    <d v="2023-03-23T23:30:00"/>
    <d v="2023-03-24T01:14:00"/>
    <d v="2023-03-23T23:27:00"/>
    <d v="2023-03-24T01:11:00"/>
    <x v="0"/>
    <x v="1"/>
    <x v="0"/>
    <x v="0"/>
  </r>
  <r>
    <x v="1"/>
    <x v="4"/>
    <n v="2.35"/>
    <n v="103"/>
    <n v="4.9400000000000004"/>
    <n v="85"/>
    <d v="2023-03-23T23:40:00"/>
    <d v="2023-03-24T01:23:00"/>
    <m/>
    <m/>
    <x v="2"/>
    <x v="1"/>
    <x v="1"/>
    <x v="1"/>
  </r>
  <r>
    <x v="3"/>
    <x v="3"/>
    <n v="3.58"/>
    <n v="34"/>
    <n v="14.45"/>
    <n v="96"/>
    <d v="2023-03-23T23:50:00"/>
    <d v="2023-03-24T00:24:00"/>
    <d v="2023-03-23T23:53:00"/>
    <d v="2023-03-24T00:27:00"/>
    <x v="0"/>
    <x v="0"/>
    <x v="0"/>
    <x v="0"/>
  </r>
  <r>
    <x v="2"/>
    <x v="4"/>
    <n v="1.46"/>
    <n v="66"/>
    <n v="3.12"/>
    <n v="95"/>
    <d v="2023-03-24T00:00:00"/>
    <d v="2023-03-24T01:06:00"/>
    <d v="2023-03-23T23:55:00"/>
    <d v="2023-03-24T01:01:00"/>
    <x v="0"/>
    <x v="1"/>
    <x v="0"/>
    <x v="0"/>
  </r>
  <r>
    <x v="0"/>
    <x v="0"/>
    <n v="4.3899999999999997"/>
    <n v="61"/>
    <n v="11.59"/>
    <n v="84"/>
    <d v="2023-03-24T00:10:00"/>
    <d v="2023-03-24T01:11:00"/>
    <d v="2023-03-24T00:07:00"/>
    <d v="2023-03-24T01:08:00"/>
    <x v="0"/>
    <x v="1"/>
    <x v="0"/>
    <x v="0"/>
  </r>
  <r>
    <x v="3"/>
    <x v="3"/>
    <n v="2.54"/>
    <n v="72"/>
    <n v="7.28"/>
    <n v="81"/>
    <d v="2023-03-24T00:20:00"/>
    <d v="2023-03-24T01:32:00"/>
    <d v="2023-03-24T00:25:00"/>
    <d v="2023-03-24T01:37:00"/>
    <x v="0"/>
    <x v="0"/>
    <x v="0"/>
    <x v="0"/>
  </r>
  <r>
    <x v="1"/>
    <x v="2"/>
    <n v="3.44"/>
    <n v="109"/>
    <n v="13.79"/>
    <n v="85"/>
    <d v="2023-03-24T00:30:00"/>
    <d v="2023-03-24T02:19:00"/>
    <d v="2023-03-24T00:52:00"/>
    <d v="2023-03-24T02:41:00"/>
    <x v="1"/>
    <x v="1"/>
    <x v="0"/>
    <x v="0"/>
  </r>
  <r>
    <x v="1"/>
    <x v="4"/>
    <n v="4.17"/>
    <n v="24"/>
    <n v="8.58"/>
    <n v="92"/>
    <d v="2023-03-24T00:40:00"/>
    <d v="2023-03-24T01:04:00"/>
    <d v="2023-03-24T00:44:00"/>
    <d v="2023-03-24T01:08:00"/>
    <x v="0"/>
    <x v="0"/>
    <x v="0"/>
    <x v="0"/>
  </r>
  <r>
    <x v="0"/>
    <x v="4"/>
    <n v="4.96"/>
    <n v="90"/>
    <n v="12.86"/>
    <n v="97"/>
    <d v="2023-03-24T00:50:00"/>
    <d v="2023-03-24T02:20:00"/>
    <d v="2023-03-24T00:49:00"/>
    <d v="2023-03-24T02:19:00"/>
    <x v="0"/>
    <x v="1"/>
    <x v="0"/>
    <x v="0"/>
  </r>
  <r>
    <x v="0"/>
    <x v="2"/>
    <n v="2.11"/>
    <n v="94"/>
    <n v="8.9499999999999993"/>
    <n v="87"/>
    <d v="2023-03-24T01:00:00"/>
    <d v="2023-03-24T02:34:00"/>
    <d v="2023-03-24T00:56:00"/>
    <d v="2023-03-24T02:30:00"/>
    <x v="0"/>
    <x v="1"/>
    <x v="0"/>
    <x v="0"/>
  </r>
  <r>
    <x v="3"/>
    <x v="0"/>
    <n v="4.09"/>
    <n v="93"/>
    <n v="2.9"/>
    <n v="87"/>
    <d v="2023-03-24T01:10:00"/>
    <d v="2023-03-24T02:43:00"/>
    <d v="2023-03-24T01:08:00"/>
    <d v="2023-03-24T02:41:00"/>
    <x v="0"/>
    <x v="1"/>
    <x v="0"/>
    <x v="0"/>
  </r>
  <r>
    <x v="2"/>
    <x v="3"/>
    <n v="4.8600000000000003"/>
    <n v="33"/>
    <n v="14"/>
    <n v="91"/>
    <d v="2023-03-24T01:20:00"/>
    <d v="2023-03-24T01:53:00"/>
    <m/>
    <m/>
    <x v="2"/>
    <x v="1"/>
    <x v="1"/>
    <x v="1"/>
  </r>
  <r>
    <x v="4"/>
    <x v="2"/>
    <n v="3.36"/>
    <n v="67"/>
    <n v="3.19"/>
    <n v="93"/>
    <d v="2023-03-24T01:30:00"/>
    <d v="2023-03-24T02:37:00"/>
    <d v="2023-03-24T01:29:00"/>
    <d v="2023-03-24T02:36:00"/>
    <x v="0"/>
    <x v="1"/>
    <x v="0"/>
    <x v="0"/>
  </r>
  <r>
    <x v="0"/>
    <x v="3"/>
    <n v="1.1100000000000001"/>
    <n v="99"/>
    <n v="12.67"/>
    <n v="91"/>
    <d v="2023-03-24T01:40:00"/>
    <d v="2023-03-24T03:19:00"/>
    <d v="2023-03-24T01:45:00"/>
    <d v="2023-03-24T03:24:00"/>
    <x v="0"/>
    <x v="0"/>
    <x v="0"/>
    <x v="0"/>
  </r>
  <r>
    <x v="4"/>
    <x v="2"/>
    <n v="3.51"/>
    <n v="58"/>
    <n v="10.11"/>
    <n v="83"/>
    <d v="2023-03-24T01:50:00"/>
    <d v="2023-03-24T02:48:00"/>
    <d v="2023-03-24T01:51:00"/>
    <d v="2023-03-24T02:49:00"/>
    <x v="0"/>
    <x v="0"/>
    <x v="0"/>
    <x v="0"/>
  </r>
  <r>
    <x v="4"/>
    <x v="4"/>
    <n v="2.94"/>
    <n v="90"/>
    <n v="9.06"/>
    <n v="95"/>
    <d v="2023-03-24T02:00:00"/>
    <d v="2023-03-24T03:30:00"/>
    <m/>
    <m/>
    <x v="2"/>
    <x v="1"/>
    <x v="1"/>
    <x v="1"/>
  </r>
  <r>
    <x v="1"/>
    <x v="3"/>
    <n v="2.73"/>
    <n v="24"/>
    <n v="3.36"/>
    <n v="82"/>
    <d v="2023-03-24T02:10:00"/>
    <d v="2023-03-24T02:34:00"/>
    <d v="2023-03-24T02:05:00"/>
    <d v="2023-03-24T02:29:00"/>
    <x v="0"/>
    <x v="1"/>
    <x v="0"/>
    <x v="0"/>
  </r>
  <r>
    <x v="3"/>
    <x v="0"/>
    <n v="4.88"/>
    <n v="80"/>
    <n v="12.55"/>
    <n v="80"/>
    <d v="2023-03-24T02:20:00"/>
    <d v="2023-03-24T03:40:00"/>
    <d v="2023-03-24T02:45:00"/>
    <d v="2023-03-24T04:05:00"/>
    <x v="1"/>
    <x v="1"/>
    <x v="0"/>
    <x v="0"/>
  </r>
  <r>
    <x v="0"/>
    <x v="0"/>
    <n v="3.68"/>
    <n v="100"/>
    <n v="12.13"/>
    <n v="89"/>
    <d v="2023-03-24T02:30:00"/>
    <d v="2023-03-24T04:10:00"/>
    <d v="2023-03-24T02:28:00"/>
    <d v="2023-03-24T04:08:00"/>
    <x v="0"/>
    <x v="1"/>
    <x v="0"/>
    <x v="0"/>
  </r>
  <r>
    <x v="2"/>
    <x v="1"/>
    <n v="4.3099999999999996"/>
    <n v="89"/>
    <n v="6.12"/>
    <n v="96"/>
    <d v="2023-03-24T02:40:00"/>
    <d v="2023-03-24T04:09:00"/>
    <d v="2023-03-24T02:45:00"/>
    <d v="2023-03-24T04:14:00"/>
    <x v="0"/>
    <x v="2"/>
    <x v="0"/>
    <x v="0"/>
  </r>
  <r>
    <x v="1"/>
    <x v="3"/>
    <n v="3.59"/>
    <n v="71"/>
    <n v="12.87"/>
    <n v="80"/>
    <d v="2023-03-24T02:50:00"/>
    <d v="2023-03-24T04:01:00"/>
    <d v="2023-03-24T02:55:00"/>
    <d v="2023-03-24T04:06:00"/>
    <x v="0"/>
    <x v="0"/>
    <x v="0"/>
    <x v="0"/>
  </r>
  <r>
    <x v="0"/>
    <x v="0"/>
    <n v="1.84"/>
    <n v="60"/>
    <n v="13.14"/>
    <n v="84"/>
    <d v="2023-03-24T03:00:00"/>
    <d v="2023-03-24T04:00:00"/>
    <d v="2023-03-24T03:02:00"/>
    <d v="2023-03-24T04:02:00"/>
    <x v="0"/>
    <x v="0"/>
    <x v="0"/>
    <x v="0"/>
  </r>
  <r>
    <x v="4"/>
    <x v="4"/>
    <n v="1.45"/>
    <n v="108"/>
    <n v="12.05"/>
    <n v="95"/>
    <d v="2023-03-24T03:10:00"/>
    <d v="2023-03-24T04:58:00"/>
    <d v="2023-03-24T03:26:00"/>
    <d v="2023-03-24T05:14:00"/>
    <x v="1"/>
    <x v="1"/>
    <x v="0"/>
    <x v="0"/>
  </r>
  <r>
    <x v="3"/>
    <x v="3"/>
    <n v="4.38"/>
    <n v="52"/>
    <n v="3.56"/>
    <n v="84"/>
    <d v="2023-03-24T03:20:00"/>
    <d v="2023-03-24T04:12:00"/>
    <m/>
    <m/>
    <x v="2"/>
    <x v="1"/>
    <x v="1"/>
    <x v="1"/>
  </r>
  <r>
    <x v="2"/>
    <x v="0"/>
    <n v="1.93"/>
    <n v="102"/>
    <n v="4.4800000000000004"/>
    <n v="80"/>
    <d v="2023-03-24T03:30:00"/>
    <d v="2023-03-24T05:12:00"/>
    <d v="2023-03-24T03:26:00"/>
    <d v="2023-03-24T05:08:00"/>
    <x v="0"/>
    <x v="1"/>
    <x v="0"/>
    <x v="0"/>
  </r>
  <r>
    <x v="3"/>
    <x v="3"/>
    <n v="2.77"/>
    <n v="74"/>
    <n v="12.74"/>
    <n v="98"/>
    <d v="2023-03-24T03:40:00"/>
    <d v="2023-03-24T04:54:00"/>
    <d v="2023-03-24T03:39:00"/>
    <d v="2023-03-24T04:53:00"/>
    <x v="0"/>
    <x v="1"/>
    <x v="0"/>
    <x v="0"/>
  </r>
  <r>
    <x v="2"/>
    <x v="0"/>
    <n v="4.41"/>
    <n v="118"/>
    <n v="14"/>
    <n v="98"/>
    <d v="2023-03-24T03:50:00"/>
    <d v="2023-03-24T05:48:00"/>
    <d v="2023-03-24T03:48:00"/>
    <d v="2023-03-24T05:46:00"/>
    <x v="0"/>
    <x v="1"/>
    <x v="0"/>
    <x v="0"/>
  </r>
  <r>
    <x v="1"/>
    <x v="3"/>
    <n v="2.38"/>
    <n v="91"/>
    <n v="4.38"/>
    <n v="94"/>
    <d v="2023-03-24T04:00:00"/>
    <d v="2023-03-24T05:31:00"/>
    <d v="2023-03-24T04:11:00"/>
    <d v="2023-03-24T05:42:00"/>
    <x v="1"/>
    <x v="1"/>
    <x v="0"/>
    <x v="0"/>
  </r>
  <r>
    <x v="0"/>
    <x v="3"/>
    <n v="2.63"/>
    <n v="88"/>
    <n v="13.86"/>
    <n v="83"/>
    <d v="2023-03-24T04:10:00"/>
    <d v="2023-03-24T05:38:00"/>
    <d v="2023-03-24T04:24:00"/>
    <d v="2023-03-24T05:52:00"/>
    <x v="1"/>
    <x v="1"/>
    <x v="0"/>
    <x v="0"/>
  </r>
  <r>
    <x v="3"/>
    <x v="0"/>
    <n v="3.36"/>
    <n v="61"/>
    <n v="8.8800000000000008"/>
    <n v="87"/>
    <d v="2023-03-24T04:20:00"/>
    <d v="2023-03-24T05:21:00"/>
    <d v="2023-03-24T04:20:00"/>
    <d v="2023-03-24T05:21:00"/>
    <x v="0"/>
    <x v="2"/>
    <x v="0"/>
    <x v="0"/>
  </r>
  <r>
    <x v="1"/>
    <x v="4"/>
    <n v="1.91"/>
    <n v="58"/>
    <n v="8.75"/>
    <n v="96"/>
    <d v="2023-03-24T04:30:00"/>
    <d v="2023-03-24T05:28:00"/>
    <d v="2023-03-24T04:25:00"/>
    <d v="2023-03-24T05:23:00"/>
    <x v="0"/>
    <x v="1"/>
    <x v="0"/>
    <x v="0"/>
  </r>
  <r>
    <x v="1"/>
    <x v="2"/>
    <n v="2.1"/>
    <n v="40"/>
    <n v="14.19"/>
    <n v="97"/>
    <d v="2023-03-24T04:40:00"/>
    <d v="2023-03-24T05:20:00"/>
    <d v="2023-03-24T04:41:00"/>
    <d v="2023-03-24T05:21:00"/>
    <x v="0"/>
    <x v="0"/>
    <x v="0"/>
    <x v="0"/>
  </r>
  <r>
    <x v="0"/>
    <x v="1"/>
    <n v="3.05"/>
    <n v="91"/>
    <n v="8.59"/>
    <n v="91"/>
    <d v="2023-03-24T04:50:00"/>
    <d v="2023-03-24T06:21:00"/>
    <d v="2023-03-24T04:45:00"/>
    <d v="2023-03-24T06:16:00"/>
    <x v="0"/>
    <x v="1"/>
    <x v="0"/>
    <x v="0"/>
  </r>
  <r>
    <x v="1"/>
    <x v="3"/>
    <n v="1.87"/>
    <n v="73"/>
    <n v="6.05"/>
    <n v="92"/>
    <d v="2023-03-24T05:00:00"/>
    <d v="2023-03-24T06:13:00"/>
    <m/>
    <m/>
    <x v="2"/>
    <x v="1"/>
    <x v="1"/>
    <x v="1"/>
  </r>
  <r>
    <x v="2"/>
    <x v="0"/>
    <n v="1.07"/>
    <n v="86"/>
    <n v="6.85"/>
    <n v="95"/>
    <d v="2023-03-24T05:10:00"/>
    <d v="2023-03-24T06:36:00"/>
    <d v="2023-03-24T05:07:00"/>
    <d v="2023-03-24T06:33:00"/>
    <x v="0"/>
    <x v="1"/>
    <x v="0"/>
    <x v="0"/>
  </r>
  <r>
    <x v="3"/>
    <x v="0"/>
    <n v="2.81"/>
    <n v="53"/>
    <n v="8.73"/>
    <n v="83"/>
    <d v="2023-03-24T05:20:00"/>
    <d v="2023-03-24T06:13:00"/>
    <d v="2023-03-24T05:19:00"/>
    <d v="2023-03-24T06:12:00"/>
    <x v="0"/>
    <x v="1"/>
    <x v="0"/>
    <x v="0"/>
  </r>
  <r>
    <x v="3"/>
    <x v="3"/>
    <n v="2.27"/>
    <n v="111"/>
    <n v="6.5"/>
    <n v="90"/>
    <d v="2023-03-24T05:30:00"/>
    <d v="2023-03-24T07:21:00"/>
    <m/>
    <m/>
    <x v="2"/>
    <x v="1"/>
    <x v="1"/>
    <x v="1"/>
  </r>
  <r>
    <x v="2"/>
    <x v="1"/>
    <n v="1.63"/>
    <n v="30"/>
    <n v="13.94"/>
    <n v="82"/>
    <d v="2023-03-24T05:40:00"/>
    <d v="2023-03-24T06:10:00"/>
    <m/>
    <m/>
    <x v="2"/>
    <x v="1"/>
    <x v="1"/>
    <x v="1"/>
  </r>
  <r>
    <x v="2"/>
    <x v="0"/>
    <n v="2.4"/>
    <n v="68"/>
    <n v="14.78"/>
    <n v="85"/>
    <d v="2023-03-24T05:50:00"/>
    <d v="2023-03-24T06:58:00"/>
    <d v="2023-03-24T06:17:00"/>
    <d v="2023-03-24T07:25:00"/>
    <x v="1"/>
    <x v="1"/>
    <x v="0"/>
    <x v="0"/>
  </r>
  <r>
    <x v="4"/>
    <x v="1"/>
    <n v="4.6399999999999997"/>
    <n v="86"/>
    <n v="11.14"/>
    <n v="89"/>
    <d v="2023-03-24T06:00:00"/>
    <d v="2023-03-24T07:26:00"/>
    <d v="2023-03-24T05:57:00"/>
    <d v="2023-03-24T07:23:00"/>
    <x v="0"/>
    <x v="1"/>
    <x v="0"/>
    <x v="0"/>
  </r>
  <r>
    <x v="3"/>
    <x v="3"/>
    <n v="3.38"/>
    <n v="68"/>
    <n v="12.99"/>
    <n v="83"/>
    <d v="2023-03-24T06:10:00"/>
    <d v="2023-03-24T07:18:00"/>
    <d v="2023-03-24T06:14:00"/>
    <d v="2023-03-24T07:22:00"/>
    <x v="0"/>
    <x v="0"/>
    <x v="0"/>
    <x v="0"/>
  </r>
  <r>
    <x v="1"/>
    <x v="2"/>
    <n v="3.63"/>
    <n v="90"/>
    <n v="13.56"/>
    <n v="81"/>
    <d v="2023-03-24T06:20:00"/>
    <d v="2023-03-24T07:50:00"/>
    <d v="2023-03-24T06:21:00"/>
    <d v="2023-03-24T07:51:00"/>
    <x v="0"/>
    <x v="0"/>
    <x v="0"/>
    <x v="0"/>
  </r>
  <r>
    <x v="1"/>
    <x v="3"/>
    <n v="1.71"/>
    <n v="62"/>
    <n v="7.53"/>
    <n v="96"/>
    <d v="2023-03-24T06:30:00"/>
    <d v="2023-03-24T07:32:00"/>
    <m/>
    <m/>
    <x v="2"/>
    <x v="1"/>
    <x v="1"/>
    <x v="1"/>
  </r>
  <r>
    <x v="1"/>
    <x v="1"/>
    <n v="2.1800000000000002"/>
    <n v="62"/>
    <n v="13.79"/>
    <n v="87"/>
    <d v="2023-03-24T06:40:00"/>
    <d v="2023-03-24T07:42:00"/>
    <d v="2023-03-24T06:44:00"/>
    <d v="2023-03-24T07:46:00"/>
    <x v="0"/>
    <x v="0"/>
    <x v="0"/>
    <x v="0"/>
  </r>
  <r>
    <x v="4"/>
    <x v="1"/>
    <n v="3.5"/>
    <n v="114"/>
    <n v="5.38"/>
    <n v="84"/>
    <d v="2023-03-24T06:50:00"/>
    <d v="2023-03-24T08:44:00"/>
    <d v="2023-03-24T06:48:00"/>
    <d v="2023-03-24T08:42:00"/>
    <x v="0"/>
    <x v="1"/>
    <x v="0"/>
    <x v="0"/>
  </r>
  <r>
    <x v="1"/>
    <x v="3"/>
    <n v="3.95"/>
    <n v="28"/>
    <n v="10.09"/>
    <n v="86"/>
    <d v="2023-03-24T07:00:00"/>
    <d v="2023-03-24T07:28:00"/>
    <d v="2023-03-24T07:23:00"/>
    <d v="2023-03-24T07:51:00"/>
    <x v="1"/>
    <x v="1"/>
    <x v="0"/>
    <x v="0"/>
  </r>
  <r>
    <x v="1"/>
    <x v="2"/>
    <n v="4.42"/>
    <n v="102"/>
    <n v="8.07"/>
    <n v="95"/>
    <d v="2023-03-24T07:10:00"/>
    <d v="2023-03-24T08:52:00"/>
    <d v="2023-03-24T07:10:00"/>
    <d v="2023-03-24T08:52:00"/>
    <x v="0"/>
    <x v="2"/>
    <x v="0"/>
    <x v="0"/>
  </r>
  <r>
    <x v="4"/>
    <x v="4"/>
    <n v="2.17"/>
    <n v="68"/>
    <n v="12.7"/>
    <n v="98"/>
    <d v="2023-03-24T07:20:00"/>
    <d v="2023-03-24T08:28:00"/>
    <m/>
    <m/>
    <x v="2"/>
    <x v="1"/>
    <x v="1"/>
    <x v="1"/>
  </r>
  <r>
    <x v="0"/>
    <x v="2"/>
    <n v="3.2"/>
    <n v="56"/>
    <n v="2.5"/>
    <n v="84"/>
    <d v="2023-03-24T07:30:00"/>
    <d v="2023-03-24T08:26:00"/>
    <d v="2023-03-24T07:48:00"/>
    <d v="2023-03-24T08:44:00"/>
    <x v="1"/>
    <x v="1"/>
    <x v="0"/>
    <x v="0"/>
  </r>
  <r>
    <x v="4"/>
    <x v="3"/>
    <n v="2.91"/>
    <n v="77"/>
    <n v="9.83"/>
    <n v="90"/>
    <d v="2023-03-24T07:40:00"/>
    <d v="2023-03-24T08:57:00"/>
    <d v="2023-03-24T07:45:00"/>
    <d v="2023-03-24T09:02:00"/>
    <x v="0"/>
    <x v="0"/>
    <x v="0"/>
    <x v="0"/>
  </r>
  <r>
    <x v="2"/>
    <x v="0"/>
    <n v="4.28"/>
    <n v="79"/>
    <n v="10.56"/>
    <n v="99"/>
    <d v="2023-03-24T07:50:00"/>
    <d v="2023-03-24T09:09:00"/>
    <d v="2023-03-24T07:53:00"/>
    <d v="2023-03-24T09:12:00"/>
    <x v="0"/>
    <x v="0"/>
    <x v="0"/>
    <x v="0"/>
  </r>
  <r>
    <x v="1"/>
    <x v="4"/>
    <n v="1.95"/>
    <n v="77"/>
    <n v="7.76"/>
    <n v="99"/>
    <d v="2023-03-24T08:00:00"/>
    <d v="2023-03-24T09:17:00"/>
    <d v="2023-03-24T08:03:00"/>
    <d v="2023-03-24T09:20:00"/>
    <x v="0"/>
    <x v="2"/>
    <x v="0"/>
    <x v="0"/>
  </r>
  <r>
    <x v="0"/>
    <x v="0"/>
    <n v="4.32"/>
    <n v="33"/>
    <n v="2.4700000000000002"/>
    <n v="88"/>
    <d v="2023-03-24T08:10:00"/>
    <d v="2023-03-24T08:43:00"/>
    <d v="2023-03-24T08:07:00"/>
    <d v="2023-03-24T08:40:00"/>
    <x v="0"/>
    <x v="1"/>
    <x v="0"/>
    <x v="0"/>
  </r>
  <r>
    <x v="2"/>
    <x v="4"/>
    <n v="4.1399999999999997"/>
    <n v="81"/>
    <n v="3.42"/>
    <n v="88"/>
    <d v="2023-03-24T08:20:00"/>
    <d v="2023-03-24T09:41:00"/>
    <d v="2023-03-24T08:31:00"/>
    <d v="2023-03-24T09:52:00"/>
    <x v="1"/>
    <x v="1"/>
    <x v="0"/>
    <x v="0"/>
  </r>
  <r>
    <x v="1"/>
    <x v="3"/>
    <n v="2.2999999999999998"/>
    <n v="33"/>
    <n v="7.36"/>
    <n v="80"/>
    <d v="2023-03-24T08:30:00"/>
    <d v="2023-03-24T09:03:00"/>
    <d v="2023-03-24T08:52:00"/>
    <d v="2023-03-24T09:25:00"/>
    <x v="1"/>
    <x v="1"/>
    <x v="0"/>
    <x v="0"/>
  </r>
  <r>
    <x v="1"/>
    <x v="2"/>
    <n v="4.8099999999999996"/>
    <n v="39"/>
    <n v="13.37"/>
    <n v="88"/>
    <d v="2023-03-24T08:40:00"/>
    <d v="2023-03-24T09:19:00"/>
    <d v="2023-03-24T08:40:00"/>
    <d v="2023-03-24T09:19:00"/>
    <x v="0"/>
    <x v="0"/>
    <x v="0"/>
    <x v="0"/>
  </r>
  <r>
    <x v="0"/>
    <x v="3"/>
    <n v="2.68"/>
    <n v="79"/>
    <n v="12.19"/>
    <n v="88"/>
    <d v="2023-03-24T08:50:00"/>
    <d v="2023-03-24T10:09:00"/>
    <d v="2023-03-24T08:55:00"/>
    <d v="2023-03-24T10:14:00"/>
    <x v="0"/>
    <x v="0"/>
    <x v="0"/>
    <x v="0"/>
  </r>
  <r>
    <x v="4"/>
    <x v="2"/>
    <n v="1.47"/>
    <n v="72"/>
    <n v="13.33"/>
    <n v="87"/>
    <d v="2023-03-24T09:00:00"/>
    <d v="2023-03-24T10:12:00"/>
    <d v="2023-03-24T08:56:00"/>
    <d v="2023-03-24T10:08:00"/>
    <x v="0"/>
    <x v="1"/>
    <x v="0"/>
    <x v="0"/>
  </r>
  <r>
    <x v="4"/>
    <x v="2"/>
    <n v="3.74"/>
    <n v="91"/>
    <n v="5.32"/>
    <n v="96"/>
    <d v="2023-03-24T09:10:00"/>
    <d v="2023-03-24T10:41:00"/>
    <d v="2023-03-24T09:11:00"/>
    <d v="2023-03-24T10:42:00"/>
    <x v="0"/>
    <x v="2"/>
    <x v="0"/>
    <x v="0"/>
  </r>
  <r>
    <x v="2"/>
    <x v="2"/>
    <n v="1.97"/>
    <n v="109"/>
    <n v="8.73"/>
    <n v="91"/>
    <d v="2023-03-24T09:20:00"/>
    <d v="2023-03-24T11:09:00"/>
    <d v="2023-03-24T09:16:00"/>
    <d v="2023-03-24T11:05:00"/>
    <x v="0"/>
    <x v="1"/>
    <x v="0"/>
    <x v="0"/>
  </r>
  <r>
    <x v="4"/>
    <x v="3"/>
    <n v="3.84"/>
    <n v="74"/>
    <n v="9.06"/>
    <n v="83"/>
    <d v="2023-03-24T09:30:00"/>
    <d v="2023-03-24T10:44:00"/>
    <d v="2023-03-24T09:25:00"/>
    <d v="2023-03-24T10:39:00"/>
    <x v="0"/>
    <x v="1"/>
    <x v="0"/>
    <x v="0"/>
  </r>
  <r>
    <x v="4"/>
    <x v="1"/>
    <n v="2.2799999999999998"/>
    <n v="85"/>
    <n v="13.44"/>
    <n v="93"/>
    <d v="2023-03-24T09:40:00"/>
    <d v="2023-03-24T11:05:00"/>
    <d v="2023-03-24T09:35:00"/>
    <d v="2023-03-24T11:00:00"/>
    <x v="0"/>
    <x v="1"/>
    <x v="0"/>
    <x v="0"/>
  </r>
  <r>
    <x v="2"/>
    <x v="3"/>
    <n v="3.39"/>
    <n v="55"/>
    <n v="2.6"/>
    <n v="81"/>
    <d v="2023-03-24T09:50:00"/>
    <d v="2023-03-24T10:45:00"/>
    <d v="2023-03-24T10:02:00"/>
    <d v="2023-03-24T10:57:00"/>
    <x v="1"/>
    <x v="1"/>
    <x v="0"/>
    <x v="0"/>
  </r>
  <r>
    <x v="3"/>
    <x v="3"/>
    <n v="2.41"/>
    <n v="23"/>
    <n v="6.93"/>
    <n v="99"/>
    <d v="2023-03-24T10:00:00"/>
    <d v="2023-03-24T10:23:00"/>
    <d v="2023-03-24T10:28:00"/>
    <d v="2023-03-24T10:51:00"/>
    <x v="1"/>
    <x v="1"/>
    <x v="0"/>
    <x v="0"/>
  </r>
  <r>
    <x v="3"/>
    <x v="3"/>
    <n v="3.92"/>
    <n v="116"/>
    <n v="3.49"/>
    <n v="88"/>
    <d v="2023-03-24T10:10:00"/>
    <d v="2023-03-24T12:06:00"/>
    <d v="2023-03-24T10:10:00"/>
    <d v="2023-03-24T12:06:00"/>
    <x v="0"/>
    <x v="2"/>
    <x v="0"/>
    <x v="0"/>
  </r>
  <r>
    <x v="3"/>
    <x v="1"/>
    <n v="2.13"/>
    <n v="52"/>
    <n v="13.14"/>
    <n v="81"/>
    <d v="2023-03-24T10:20:00"/>
    <d v="2023-03-24T11:12:00"/>
    <m/>
    <m/>
    <x v="2"/>
    <x v="1"/>
    <x v="1"/>
    <x v="1"/>
  </r>
  <r>
    <x v="2"/>
    <x v="0"/>
    <n v="4.08"/>
    <n v="64"/>
    <n v="2.12"/>
    <n v="98"/>
    <d v="2023-03-24T10:30:00"/>
    <d v="2023-03-24T11:34:00"/>
    <m/>
    <m/>
    <x v="2"/>
    <x v="1"/>
    <x v="1"/>
    <x v="1"/>
  </r>
  <r>
    <x v="4"/>
    <x v="0"/>
    <n v="3.08"/>
    <n v="105"/>
    <n v="10.44"/>
    <n v="98"/>
    <d v="2023-03-24T10:40:00"/>
    <d v="2023-03-24T12:25:00"/>
    <d v="2023-03-24T10:43:00"/>
    <d v="2023-03-24T12:28:00"/>
    <x v="0"/>
    <x v="0"/>
    <x v="0"/>
    <x v="0"/>
  </r>
  <r>
    <x v="3"/>
    <x v="2"/>
    <n v="3.27"/>
    <n v="60"/>
    <n v="7.5"/>
    <n v="90"/>
    <d v="2023-03-24T10:50:00"/>
    <d v="2023-03-24T11:50:00"/>
    <d v="2023-03-24T10:47:00"/>
    <d v="2023-03-24T11:47:00"/>
    <x v="0"/>
    <x v="1"/>
    <x v="0"/>
    <x v="0"/>
  </r>
  <r>
    <x v="2"/>
    <x v="3"/>
    <n v="2.12"/>
    <n v="43"/>
    <n v="3.75"/>
    <n v="84"/>
    <d v="2023-03-24T11:00:00"/>
    <d v="2023-03-24T11:43:00"/>
    <d v="2023-03-24T11:05:00"/>
    <d v="2023-03-24T11:48:00"/>
    <x v="0"/>
    <x v="2"/>
    <x v="0"/>
    <x v="0"/>
  </r>
  <r>
    <x v="2"/>
    <x v="0"/>
    <n v="3.58"/>
    <n v="32"/>
    <n v="13.96"/>
    <n v="82"/>
    <d v="2023-03-24T11:10:00"/>
    <d v="2023-03-24T11:42:00"/>
    <d v="2023-03-24T11:08:00"/>
    <d v="2023-03-24T11:40:00"/>
    <x v="0"/>
    <x v="1"/>
    <x v="0"/>
    <x v="0"/>
  </r>
  <r>
    <x v="3"/>
    <x v="4"/>
    <n v="4.9800000000000004"/>
    <n v="45"/>
    <n v="8.68"/>
    <n v="95"/>
    <d v="2023-03-24T11:20:00"/>
    <d v="2023-03-24T12:05:00"/>
    <d v="2023-03-24T11:25:00"/>
    <d v="2023-03-24T12:10:00"/>
    <x v="0"/>
    <x v="0"/>
    <x v="0"/>
    <x v="0"/>
  </r>
  <r>
    <x v="1"/>
    <x v="4"/>
    <n v="3.75"/>
    <n v="25"/>
    <n v="9.4"/>
    <n v="90"/>
    <d v="2023-03-24T11:30:00"/>
    <d v="2023-03-24T11:55:00"/>
    <d v="2023-03-24T11:25:00"/>
    <d v="2023-03-24T11:50:00"/>
    <x v="0"/>
    <x v="1"/>
    <x v="0"/>
    <x v="0"/>
  </r>
  <r>
    <x v="1"/>
    <x v="2"/>
    <n v="1.69"/>
    <n v="105"/>
    <n v="11.47"/>
    <n v="87"/>
    <d v="2023-03-24T11:40:00"/>
    <d v="2023-03-24T13:25:00"/>
    <d v="2023-03-24T11:42:00"/>
    <d v="2023-03-24T13:27:00"/>
    <x v="0"/>
    <x v="0"/>
    <x v="0"/>
    <x v="0"/>
  </r>
  <r>
    <x v="2"/>
    <x v="1"/>
    <n v="4.87"/>
    <n v="82"/>
    <n v="4.26"/>
    <n v="94"/>
    <d v="2023-03-24T11:50:00"/>
    <d v="2023-03-24T13:12:00"/>
    <d v="2023-03-24T12:01:00"/>
    <d v="2023-03-24T13:23:00"/>
    <x v="1"/>
    <x v="1"/>
    <x v="0"/>
    <x v="0"/>
  </r>
  <r>
    <x v="4"/>
    <x v="3"/>
    <n v="3.51"/>
    <n v="78"/>
    <n v="2.95"/>
    <n v="87"/>
    <d v="2023-03-24T12:00:00"/>
    <d v="2023-03-24T13:18:00"/>
    <m/>
    <m/>
    <x v="2"/>
    <x v="1"/>
    <x v="1"/>
    <x v="1"/>
  </r>
  <r>
    <x v="0"/>
    <x v="4"/>
    <n v="2.5299999999999998"/>
    <n v="30"/>
    <n v="13.66"/>
    <n v="92"/>
    <d v="2023-03-24T12:10:00"/>
    <d v="2023-03-24T12:40:00"/>
    <d v="2023-03-24T12:09:00"/>
    <d v="2023-03-24T12:39:00"/>
    <x v="0"/>
    <x v="1"/>
    <x v="0"/>
    <x v="0"/>
  </r>
  <r>
    <x v="2"/>
    <x v="3"/>
    <n v="3.14"/>
    <n v="104"/>
    <n v="3.16"/>
    <n v="92"/>
    <d v="2023-03-24T12:20:00"/>
    <d v="2023-03-24T14:04:00"/>
    <d v="2023-03-24T12:15:00"/>
    <d v="2023-03-24T13:59:00"/>
    <x v="0"/>
    <x v="1"/>
    <x v="0"/>
    <x v="0"/>
  </r>
  <r>
    <x v="2"/>
    <x v="4"/>
    <n v="4.6500000000000004"/>
    <n v="43"/>
    <n v="14.03"/>
    <n v="91"/>
    <d v="2023-03-24T12:30:00"/>
    <d v="2023-03-24T13:13:00"/>
    <d v="2023-03-24T12:31:00"/>
    <d v="2023-03-24T13:14:00"/>
    <x v="0"/>
    <x v="0"/>
    <x v="0"/>
    <x v="0"/>
  </r>
  <r>
    <x v="1"/>
    <x v="2"/>
    <n v="3.22"/>
    <n v="115"/>
    <n v="12.2"/>
    <n v="90"/>
    <d v="2023-03-24T12:40:00"/>
    <d v="2023-03-24T14:35:00"/>
    <d v="2023-03-24T12:43:00"/>
    <d v="2023-03-24T14:38:00"/>
    <x v="0"/>
    <x v="0"/>
    <x v="0"/>
    <x v="0"/>
  </r>
  <r>
    <x v="0"/>
    <x v="3"/>
    <n v="1.58"/>
    <n v="68"/>
    <n v="12.26"/>
    <n v="94"/>
    <d v="2023-03-24T12:50:00"/>
    <d v="2023-03-24T13:58:00"/>
    <d v="2023-03-24T12:46:00"/>
    <d v="2023-03-24T13:54:00"/>
    <x v="0"/>
    <x v="1"/>
    <x v="0"/>
    <x v="0"/>
  </r>
  <r>
    <x v="3"/>
    <x v="1"/>
    <n v="1.32"/>
    <n v="82"/>
    <n v="6.89"/>
    <n v="93"/>
    <d v="2023-03-24T13:00:00"/>
    <d v="2023-03-24T14:22:00"/>
    <d v="2023-03-24T13:04:00"/>
    <d v="2023-03-24T14:26:00"/>
    <x v="0"/>
    <x v="2"/>
    <x v="0"/>
    <x v="0"/>
  </r>
  <r>
    <x v="1"/>
    <x v="0"/>
    <n v="1.24"/>
    <n v="109"/>
    <n v="2.0499999999999998"/>
    <n v="97"/>
    <d v="2023-03-24T13:10:00"/>
    <d v="2023-03-24T14:59:00"/>
    <d v="2023-03-24T13:13:00"/>
    <d v="2023-03-24T15:02:00"/>
    <x v="0"/>
    <x v="2"/>
    <x v="0"/>
    <x v="0"/>
  </r>
  <r>
    <x v="3"/>
    <x v="0"/>
    <n v="2.04"/>
    <n v="60"/>
    <n v="9.2899999999999991"/>
    <n v="99"/>
    <d v="2023-03-24T13:20:00"/>
    <d v="2023-03-24T14:20:00"/>
    <d v="2023-03-24T13:18:00"/>
    <d v="2023-03-24T14:18:00"/>
    <x v="0"/>
    <x v="1"/>
    <x v="0"/>
    <x v="0"/>
  </r>
  <r>
    <x v="3"/>
    <x v="1"/>
    <n v="4.7699999999999996"/>
    <n v="20"/>
    <n v="9.81"/>
    <n v="86"/>
    <d v="2023-03-24T13:30:00"/>
    <d v="2023-03-24T13:50:00"/>
    <d v="2023-03-24T13:51:00"/>
    <d v="2023-03-24T14:11:00"/>
    <x v="1"/>
    <x v="1"/>
    <x v="0"/>
    <x v="0"/>
  </r>
  <r>
    <x v="4"/>
    <x v="2"/>
    <n v="1.47"/>
    <n v="75"/>
    <n v="14.44"/>
    <n v="80"/>
    <d v="2023-03-24T13:40:00"/>
    <d v="2023-03-24T14:55:00"/>
    <d v="2023-03-24T13:44:00"/>
    <d v="2023-03-24T14:59:00"/>
    <x v="0"/>
    <x v="0"/>
    <x v="0"/>
    <x v="0"/>
  </r>
  <r>
    <x v="4"/>
    <x v="2"/>
    <n v="2.77"/>
    <n v="59"/>
    <n v="6.61"/>
    <n v="93"/>
    <d v="2023-03-24T13:50:00"/>
    <d v="2023-03-24T14:49:00"/>
    <d v="2023-03-24T13:52:00"/>
    <d v="2023-03-24T14:51:00"/>
    <x v="0"/>
    <x v="2"/>
    <x v="0"/>
    <x v="0"/>
  </r>
  <r>
    <x v="3"/>
    <x v="4"/>
    <n v="1.4"/>
    <n v="94"/>
    <n v="12.06"/>
    <n v="89"/>
    <d v="2023-03-24T14:00:00"/>
    <d v="2023-03-24T15:34:00"/>
    <d v="2023-03-24T14:16:00"/>
    <d v="2023-03-24T15:50:00"/>
    <x v="1"/>
    <x v="1"/>
    <x v="0"/>
    <x v="0"/>
  </r>
  <r>
    <x v="4"/>
    <x v="2"/>
    <n v="2.44"/>
    <n v="103"/>
    <n v="13.56"/>
    <n v="95"/>
    <d v="2023-03-24T14:10:00"/>
    <d v="2023-03-24T15:53:00"/>
    <d v="2023-03-24T14:13:00"/>
    <d v="2023-03-24T15:56:00"/>
    <x v="0"/>
    <x v="0"/>
    <x v="0"/>
    <x v="0"/>
  </r>
  <r>
    <x v="4"/>
    <x v="0"/>
    <n v="4.04"/>
    <n v="95"/>
    <n v="14.48"/>
    <n v="97"/>
    <d v="2023-03-24T14:20:00"/>
    <d v="2023-03-24T15:55:00"/>
    <d v="2023-03-24T14:17:00"/>
    <d v="2023-03-24T15:52:00"/>
    <x v="0"/>
    <x v="1"/>
    <x v="0"/>
    <x v="0"/>
  </r>
  <r>
    <x v="3"/>
    <x v="4"/>
    <n v="1.1200000000000001"/>
    <n v="65"/>
    <n v="12.46"/>
    <n v="85"/>
    <d v="2023-03-24T14:30:00"/>
    <d v="2023-03-24T15:35:00"/>
    <m/>
    <m/>
    <x v="2"/>
    <x v="1"/>
    <x v="1"/>
    <x v="1"/>
  </r>
  <r>
    <x v="4"/>
    <x v="2"/>
    <n v="2.79"/>
    <n v="48"/>
    <n v="7.14"/>
    <n v="91"/>
    <d v="2023-03-24T14:40:00"/>
    <d v="2023-03-24T15:28:00"/>
    <d v="2023-03-24T14:42:00"/>
    <d v="2023-03-24T15:30:00"/>
    <x v="0"/>
    <x v="2"/>
    <x v="0"/>
    <x v="0"/>
  </r>
  <r>
    <x v="0"/>
    <x v="1"/>
    <n v="4.2699999999999996"/>
    <n v="60"/>
    <n v="3.92"/>
    <n v="94"/>
    <d v="2023-03-24T14:50:00"/>
    <d v="2023-03-24T15:50:00"/>
    <d v="2023-03-24T15:09:00"/>
    <d v="2023-03-24T16:09:00"/>
    <x v="1"/>
    <x v="1"/>
    <x v="0"/>
    <x v="0"/>
  </r>
  <r>
    <x v="2"/>
    <x v="4"/>
    <n v="1.98"/>
    <n v="90"/>
    <n v="14.41"/>
    <n v="98"/>
    <d v="2023-03-24T15:00:00"/>
    <d v="2023-03-24T16:30:00"/>
    <d v="2023-03-24T15:12:00"/>
    <d v="2023-03-24T16:42:00"/>
    <x v="1"/>
    <x v="1"/>
    <x v="0"/>
    <x v="0"/>
  </r>
  <r>
    <x v="2"/>
    <x v="3"/>
    <n v="3.41"/>
    <n v="106"/>
    <n v="14.25"/>
    <n v="85"/>
    <d v="2023-03-24T15:10:00"/>
    <d v="2023-03-24T16:56:00"/>
    <d v="2023-03-24T15:10:00"/>
    <d v="2023-03-24T16:56:00"/>
    <x v="0"/>
    <x v="0"/>
    <x v="0"/>
    <x v="0"/>
  </r>
  <r>
    <x v="1"/>
    <x v="1"/>
    <n v="4.29"/>
    <n v="116"/>
    <n v="13.6"/>
    <n v="87"/>
    <d v="2023-03-24T15:20:00"/>
    <d v="2023-03-24T17:16:00"/>
    <d v="2023-03-24T15:24:00"/>
    <d v="2023-03-24T17:20:00"/>
    <x v="0"/>
    <x v="0"/>
    <x v="0"/>
    <x v="0"/>
  </r>
  <r>
    <x v="2"/>
    <x v="1"/>
    <n v="4.83"/>
    <n v="38"/>
    <n v="12.13"/>
    <n v="85"/>
    <d v="2023-03-24T15:30:00"/>
    <d v="2023-03-24T16:08:00"/>
    <d v="2023-03-24T15:28:00"/>
    <d v="2023-03-24T16:06:00"/>
    <x v="0"/>
    <x v="1"/>
    <x v="0"/>
    <x v="0"/>
  </r>
  <r>
    <x v="4"/>
    <x v="0"/>
    <n v="2.5499999999999998"/>
    <n v="112"/>
    <n v="4.12"/>
    <n v="87"/>
    <d v="2023-03-24T15:40:00"/>
    <d v="2023-03-24T17:32:00"/>
    <d v="2023-03-24T15:39:00"/>
    <d v="2023-03-24T17:31:00"/>
    <x v="0"/>
    <x v="1"/>
    <x v="0"/>
    <x v="0"/>
  </r>
  <r>
    <x v="1"/>
    <x v="3"/>
    <n v="3.6"/>
    <n v="72"/>
    <n v="13.88"/>
    <n v="91"/>
    <d v="2023-03-24T15:50:00"/>
    <d v="2023-03-24T17:02:00"/>
    <m/>
    <m/>
    <x v="2"/>
    <x v="1"/>
    <x v="1"/>
    <x v="1"/>
  </r>
  <r>
    <x v="3"/>
    <x v="1"/>
    <n v="2.37"/>
    <n v="31"/>
    <n v="12.76"/>
    <n v="91"/>
    <d v="2023-03-24T16:00:00"/>
    <d v="2023-03-24T16:31:00"/>
    <d v="2023-03-24T15:56:00"/>
    <d v="2023-03-24T16:27:00"/>
    <x v="0"/>
    <x v="1"/>
    <x v="0"/>
    <x v="0"/>
  </r>
  <r>
    <x v="4"/>
    <x v="2"/>
    <n v="1.17"/>
    <n v="72"/>
    <n v="9.64"/>
    <n v="92"/>
    <d v="2023-03-24T16:10:00"/>
    <d v="2023-03-24T17:22:00"/>
    <d v="2023-03-24T16:08:00"/>
    <d v="2023-03-24T17:20:00"/>
    <x v="0"/>
    <x v="1"/>
    <x v="0"/>
    <x v="0"/>
  </r>
  <r>
    <x v="2"/>
    <x v="1"/>
    <n v="4.4000000000000004"/>
    <n v="83"/>
    <n v="12.24"/>
    <n v="98"/>
    <d v="2023-03-24T16:20:00"/>
    <d v="2023-03-24T17:43:00"/>
    <d v="2023-03-24T16:45:00"/>
    <d v="2023-03-24T18:08:00"/>
    <x v="1"/>
    <x v="1"/>
    <x v="0"/>
    <x v="0"/>
  </r>
  <r>
    <x v="0"/>
    <x v="4"/>
    <n v="4.75"/>
    <n v="31"/>
    <n v="8.94"/>
    <n v="98"/>
    <d v="2023-03-24T16:30:00"/>
    <d v="2023-03-24T17:01:00"/>
    <d v="2023-03-24T16:32:00"/>
    <d v="2023-03-24T17:03:00"/>
    <x v="0"/>
    <x v="0"/>
    <x v="0"/>
    <x v="0"/>
  </r>
  <r>
    <x v="1"/>
    <x v="0"/>
    <n v="2.11"/>
    <n v="40"/>
    <n v="6.24"/>
    <n v="92"/>
    <d v="2023-03-24T16:40:00"/>
    <d v="2023-03-24T17:20:00"/>
    <d v="2023-03-24T16:35:00"/>
    <d v="2023-03-24T17:15:00"/>
    <x v="0"/>
    <x v="1"/>
    <x v="0"/>
    <x v="0"/>
  </r>
  <r>
    <x v="1"/>
    <x v="0"/>
    <n v="2"/>
    <n v="116"/>
    <n v="12.06"/>
    <n v="84"/>
    <d v="2023-03-24T16:50:00"/>
    <d v="2023-03-24T18:46:00"/>
    <m/>
    <m/>
    <x v="2"/>
    <x v="1"/>
    <x v="1"/>
    <x v="1"/>
  </r>
  <r>
    <x v="3"/>
    <x v="0"/>
    <n v="1.71"/>
    <n v="48"/>
    <n v="11.56"/>
    <n v="83"/>
    <d v="2023-03-24T17:00:00"/>
    <d v="2023-03-24T17:48:00"/>
    <d v="2023-03-24T17:05:00"/>
    <d v="2023-03-24T17:53:00"/>
    <x v="0"/>
    <x v="0"/>
    <x v="0"/>
    <x v="0"/>
  </r>
  <r>
    <x v="1"/>
    <x v="1"/>
    <n v="4.26"/>
    <n v="43"/>
    <n v="9.59"/>
    <n v="81"/>
    <d v="2023-03-24T17:10:00"/>
    <d v="2023-03-24T17:53:00"/>
    <d v="2023-03-24T17:14:00"/>
    <d v="2023-03-24T17:57:00"/>
    <x v="0"/>
    <x v="0"/>
    <x v="0"/>
    <x v="0"/>
  </r>
  <r>
    <x v="0"/>
    <x v="0"/>
    <n v="2.73"/>
    <n v="90"/>
    <n v="7.46"/>
    <n v="85"/>
    <d v="2023-03-24T17:20:00"/>
    <d v="2023-03-24T18:50:00"/>
    <d v="2023-03-24T17:20:00"/>
    <d v="2023-03-24T18:50:00"/>
    <x v="0"/>
    <x v="2"/>
    <x v="0"/>
    <x v="0"/>
  </r>
  <r>
    <x v="2"/>
    <x v="4"/>
    <n v="1.62"/>
    <n v="46"/>
    <n v="4.17"/>
    <n v="97"/>
    <d v="2023-03-24T17:30:00"/>
    <d v="2023-03-24T18:16:00"/>
    <d v="2023-03-24T17:30:00"/>
    <d v="2023-03-24T18:16:00"/>
    <x v="0"/>
    <x v="2"/>
    <x v="0"/>
    <x v="0"/>
  </r>
  <r>
    <x v="2"/>
    <x v="3"/>
    <n v="4.8499999999999996"/>
    <n v="91"/>
    <n v="14.43"/>
    <n v="80"/>
    <d v="2023-03-24T17:40:00"/>
    <d v="2023-03-24T19:11:00"/>
    <d v="2023-03-24T17:35:00"/>
    <d v="2023-03-24T19:06:00"/>
    <x v="0"/>
    <x v="1"/>
    <x v="0"/>
    <x v="0"/>
  </r>
  <r>
    <x v="1"/>
    <x v="4"/>
    <n v="4.24"/>
    <n v="84"/>
    <n v="3.01"/>
    <n v="99"/>
    <d v="2023-03-24T17:50:00"/>
    <d v="2023-03-24T19:14:00"/>
    <d v="2023-03-24T18:02:00"/>
    <d v="2023-03-24T19:26:00"/>
    <x v="1"/>
    <x v="1"/>
    <x v="0"/>
    <x v="0"/>
  </r>
  <r>
    <x v="2"/>
    <x v="1"/>
    <n v="3.4"/>
    <n v="30"/>
    <n v="5.58"/>
    <n v="86"/>
    <d v="2023-03-24T18:00:00"/>
    <d v="2023-03-24T18:30:00"/>
    <d v="2023-03-24T17:55:00"/>
    <d v="2023-03-24T18:25:00"/>
    <x v="0"/>
    <x v="1"/>
    <x v="0"/>
    <x v="0"/>
  </r>
  <r>
    <x v="3"/>
    <x v="0"/>
    <n v="3.91"/>
    <n v="115"/>
    <n v="4.62"/>
    <n v="95"/>
    <d v="2023-03-24T18:10:00"/>
    <d v="2023-03-24T20:05:00"/>
    <d v="2023-03-24T18:05:00"/>
    <d v="2023-03-24T20:00:00"/>
    <x v="0"/>
    <x v="1"/>
    <x v="0"/>
    <x v="0"/>
  </r>
  <r>
    <x v="0"/>
    <x v="4"/>
    <n v="1.4"/>
    <n v="60"/>
    <n v="6.27"/>
    <n v="90"/>
    <d v="2023-03-24T18:20:00"/>
    <d v="2023-03-24T19:20:00"/>
    <d v="2023-03-24T18:25:00"/>
    <d v="2023-03-24T19:25:00"/>
    <x v="0"/>
    <x v="2"/>
    <x v="0"/>
    <x v="0"/>
  </r>
  <r>
    <x v="2"/>
    <x v="1"/>
    <n v="4.46"/>
    <n v="100"/>
    <n v="7.59"/>
    <n v="88"/>
    <d v="2023-03-24T18:30:00"/>
    <d v="2023-03-24T20:10:00"/>
    <d v="2023-03-24T18:27:00"/>
    <d v="2023-03-24T20:07:00"/>
    <x v="0"/>
    <x v="1"/>
    <x v="0"/>
    <x v="0"/>
  </r>
  <r>
    <x v="0"/>
    <x v="2"/>
    <n v="1.19"/>
    <n v="95"/>
    <n v="7.99"/>
    <n v="81"/>
    <d v="2023-03-24T18:40:00"/>
    <d v="2023-03-24T20:15:00"/>
    <m/>
    <m/>
    <x v="2"/>
    <x v="1"/>
    <x v="1"/>
    <x v="1"/>
  </r>
  <r>
    <x v="4"/>
    <x v="2"/>
    <n v="3.12"/>
    <n v="101"/>
    <n v="9.44"/>
    <n v="85"/>
    <d v="2023-03-24T18:50:00"/>
    <d v="2023-03-24T20:31:00"/>
    <d v="2023-03-24T18:49:00"/>
    <d v="2023-03-24T20:30:00"/>
    <x v="0"/>
    <x v="1"/>
    <x v="0"/>
    <x v="0"/>
  </r>
  <r>
    <x v="4"/>
    <x v="2"/>
    <n v="1.1200000000000001"/>
    <n v="55"/>
    <n v="5.05"/>
    <n v="91"/>
    <d v="2023-03-24T19:00:00"/>
    <d v="2023-03-24T19:55:00"/>
    <d v="2023-03-24T18:56:00"/>
    <d v="2023-03-24T19:51:00"/>
    <x v="0"/>
    <x v="1"/>
    <x v="0"/>
    <x v="0"/>
  </r>
  <r>
    <x v="0"/>
    <x v="2"/>
    <n v="3.5"/>
    <n v="41"/>
    <n v="8.5299999999999994"/>
    <n v="94"/>
    <d v="2023-03-24T19:10:00"/>
    <d v="2023-03-24T19:51:00"/>
    <m/>
    <m/>
    <x v="2"/>
    <x v="1"/>
    <x v="1"/>
    <x v="1"/>
  </r>
  <r>
    <x v="2"/>
    <x v="2"/>
    <n v="4.01"/>
    <n v="49"/>
    <n v="4.2300000000000004"/>
    <n v="96"/>
    <d v="2023-03-24T19:20:00"/>
    <d v="2023-03-24T20:09:00"/>
    <d v="2023-03-24T19:19:00"/>
    <d v="2023-03-24T20:08:00"/>
    <x v="0"/>
    <x v="1"/>
    <x v="0"/>
    <x v="0"/>
  </r>
  <r>
    <x v="3"/>
    <x v="4"/>
    <n v="1.1200000000000001"/>
    <n v="88"/>
    <n v="11.95"/>
    <n v="98"/>
    <d v="2023-03-24T19:30:00"/>
    <d v="2023-03-24T20:58:00"/>
    <d v="2023-03-24T19:28:00"/>
    <d v="2023-03-24T20:56:00"/>
    <x v="0"/>
    <x v="1"/>
    <x v="0"/>
    <x v="0"/>
  </r>
  <r>
    <x v="2"/>
    <x v="4"/>
    <n v="3.28"/>
    <n v="81"/>
    <n v="5.14"/>
    <n v="99"/>
    <d v="2023-03-24T19:40:00"/>
    <d v="2023-03-24T21:01:00"/>
    <d v="2023-03-24T19:44:00"/>
    <d v="2023-03-24T21:05:00"/>
    <x v="0"/>
    <x v="2"/>
    <x v="0"/>
    <x v="0"/>
  </r>
  <r>
    <x v="3"/>
    <x v="4"/>
    <n v="2.67"/>
    <n v="22"/>
    <n v="13.15"/>
    <n v="83"/>
    <d v="2023-03-24T19:50:00"/>
    <d v="2023-03-24T20:12:00"/>
    <d v="2023-03-24T19:54:00"/>
    <d v="2023-03-24T20:16:00"/>
    <x v="0"/>
    <x v="0"/>
    <x v="0"/>
    <x v="0"/>
  </r>
  <r>
    <x v="2"/>
    <x v="4"/>
    <n v="4.28"/>
    <n v="103"/>
    <n v="14.71"/>
    <n v="88"/>
    <d v="2023-03-24T20:00:00"/>
    <d v="2023-03-24T21:43:00"/>
    <d v="2023-03-24T19:58:00"/>
    <d v="2023-03-24T21:41:00"/>
    <x v="0"/>
    <x v="1"/>
    <x v="0"/>
    <x v="0"/>
  </r>
  <r>
    <x v="2"/>
    <x v="4"/>
    <n v="1.97"/>
    <n v="47"/>
    <n v="9.7200000000000006"/>
    <n v="99"/>
    <d v="2023-03-24T20:10:00"/>
    <d v="2023-03-24T20:57:00"/>
    <d v="2023-03-24T20:13:00"/>
    <d v="2023-03-24T21:00:00"/>
    <x v="0"/>
    <x v="0"/>
    <x v="0"/>
    <x v="0"/>
  </r>
  <r>
    <x v="2"/>
    <x v="4"/>
    <n v="3.28"/>
    <n v="50"/>
    <n v="7.97"/>
    <n v="96"/>
    <d v="2023-03-24T20:20:00"/>
    <d v="2023-03-24T21:10:00"/>
    <d v="2023-03-24T20:45:00"/>
    <d v="2023-03-24T21:35:00"/>
    <x v="1"/>
    <x v="1"/>
    <x v="0"/>
    <x v="0"/>
  </r>
  <r>
    <x v="0"/>
    <x v="3"/>
    <n v="2.31"/>
    <n v="87"/>
    <n v="5.9"/>
    <n v="95"/>
    <d v="2023-03-24T20:30:00"/>
    <d v="2023-03-24T21:57:00"/>
    <d v="2023-03-24T20:32:00"/>
    <d v="2023-03-24T21:59:00"/>
    <x v="0"/>
    <x v="2"/>
    <x v="0"/>
    <x v="0"/>
  </r>
  <r>
    <x v="2"/>
    <x v="2"/>
    <n v="2.88"/>
    <n v="105"/>
    <n v="14.3"/>
    <n v="83"/>
    <d v="2023-03-24T20:40:00"/>
    <d v="2023-03-24T22:25:00"/>
    <d v="2023-03-24T20:45:00"/>
    <d v="2023-03-24T22:30:00"/>
    <x v="0"/>
    <x v="0"/>
    <x v="0"/>
    <x v="0"/>
  </r>
  <r>
    <x v="1"/>
    <x v="1"/>
    <n v="4.7300000000000004"/>
    <n v="20"/>
    <n v="4.97"/>
    <n v="90"/>
    <d v="2023-03-24T20:50:00"/>
    <d v="2023-03-24T21:10:00"/>
    <d v="2023-03-24T20:50:00"/>
    <d v="2023-03-24T21:10:00"/>
    <x v="0"/>
    <x v="2"/>
    <x v="0"/>
    <x v="0"/>
  </r>
  <r>
    <x v="1"/>
    <x v="0"/>
    <n v="2.17"/>
    <n v="71"/>
    <n v="12.6"/>
    <n v="97"/>
    <d v="2023-03-24T21:00:00"/>
    <d v="2023-03-24T22:11:00"/>
    <m/>
    <m/>
    <x v="2"/>
    <x v="1"/>
    <x v="1"/>
    <x v="1"/>
  </r>
  <r>
    <x v="2"/>
    <x v="1"/>
    <n v="4.3099999999999996"/>
    <n v="43"/>
    <n v="6.5"/>
    <n v="90"/>
    <d v="2023-03-24T21:10:00"/>
    <d v="2023-03-24T21:53:00"/>
    <d v="2023-03-24T21:40:00"/>
    <d v="2023-03-24T22:23:00"/>
    <x v="1"/>
    <x v="1"/>
    <x v="0"/>
    <x v="0"/>
  </r>
  <r>
    <x v="1"/>
    <x v="2"/>
    <n v="3.1"/>
    <n v="33"/>
    <n v="2.46"/>
    <n v="97"/>
    <d v="2023-03-24T21:20:00"/>
    <d v="2023-03-24T21:53:00"/>
    <d v="2023-03-24T21:45:00"/>
    <d v="2023-03-24T22:18:00"/>
    <x v="1"/>
    <x v="1"/>
    <x v="0"/>
    <x v="0"/>
  </r>
  <r>
    <x v="0"/>
    <x v="2"/>
    <n v="1.94"/>
    <n v="45"/>
    <n v="2.4300000000000002"/>
    <n v="90"/>
    <d v="2023-03-24T21:30:00"/>
    <d v="2023-03-24T22:15:00"/>
    <d v="2023-03-24T21:27:00"/>
    <d v="2023-03-24T22:12:00"/>
    <x v="0"/>
    <x v="1"/>
    <x v="0"/>
    <x v="0"/>
  </r>
  <r>
    <x v="2"/>
    <x v="4"/>
    <n v="2.99"/>
    <n v="88"/>
    <n v="8.42"/>
    <n v="82"/>
    <d v="2023-03-24T21:40:00"/>
    <d v="2023-03-24T23:08:00"/>
    <d v="2023-03-24T21:39:00"/>
    <d v="2023-03-24T23:07:00"/>
    <x v="0"/>
    <x v="1"/>
    <x v="0"/>
    <x v="0"/>
  </r>
  <r>
    <x v="2"/>
    <x v="3"/>
    <n v="1.29"/>
    <n v="100"/>
    <n v="7.13"/>
    <n v="82"/>
    <d v="2023-03-24T21:50:00"/>
    <d v="2023-03-24T23:30:00"/>
    <d v="2023-03-24T21:52:00"/>
    <d v="2023-03-24T23:32:00"/>
    <x v="0"/>
    <x v="2"/>
    <x v="0"/>
    <x v="0"/>
  </r>
  <r>
    <x v="4"/>
    <x v="4"/>
    <n v="3.01"/>
    <n v="57"/>
    <n v="14.36"/>
    <n v="93"/>
    <d v="2023-03-24T22:00:00"/>
    <d v="2023-03-24T22:57:00"/>
    <d v="2023-03-24T22:02:00"/>
    <d v="2023-03-24T22:59:00"/>
    <x v="0"/>
    <x v="0"/>
    <x v="0"/>
    <x v="0"/>
  </r>
  <r>
    <x v="1"/>
    <x v="4"/>
    <n v="4.7"/>
    <n v="92"/>
    <n v="4"/>
    <n v="89"/>
    <d v="2023-03-24T22:10:00"/>
    <d v="2023-03-24T23:42:00"/>
    <d v="2023-03-24T22:14:00"/>
    <d v="2023-03-24T23:46:00"/>
    <x v="0"/>
    <x v="2"/>
    <x v="0"/>
    <x v="0"/>
  </r>
  <r>
    <x v="3"/>
    <x v="4"/>
    <n v="2.42"/>
    <n v="81"/>
    <n v="4.5199999999999996"/>
    <n v="80"/>
    <d v="2023-03-24T22:20:00"/>
    <d v="2023-03-24T23:41:00"/>
    <d v="2023-03-24T22:24:00"/>
    <d v="2023-03-24T23:45:00"/>
    <x v="0"/>
    <x v="2"/>
    <x v="0"/>
    <x v="0"/>
  </r>
  <r>
    <x v="2"/>
    <x v="2"/>
    <n v="1.69"/>
    <n v="24"/>
    <n v="10.01"/>
    <n v="83"/>
    <d v="2023-03-24T22:30:00"/>
    <d v="2023-03-24T22:54:00"/>
    <d v="2023-03-24T22:33:00"/>
    <d v="2023-03-24T22:57:00"/>
    <x v="0"/>
    <x v="0"/>
    <x v="0"/>
    <x v="0"/>
  </r>
  <r>
    <x v="4"/>
    <x v="2"/>
    <n v="2.85"/>
    <n v="103"/>
    <n v="7.28"/>
    <n v="97"/>
    <d v="2023-03-24T22:40:00"/>
    <d v="2023-03-25T00:23:00"/>
    <d v="2023-03-24T22:41:00"/>
    <d v="2023-03-25T00:24:00"/>
    <x v="0"/>
    <x v="2"/>
    <x v="0"/>
    <x v="0"/>
  </r>
  <r>
    <x v="0"/>
    <x v="0"/>
    <n v="4.54"/>
    <n v="39"/>
    <n v="3.74"/>
    <n v="91"/>
    <d v="2023-03-24T22:50:00"/>
    <d v="2023-03-24T23:29:00"/>
    <d v="2023-03-24T22:45:00"/>
    <d v="2023-03-24T23:24:00"/>
    <x v="0"/>
    <x v="1"/>
    <x v="0"/>
    <x v="0"/>
  </r>
  <r>
    <x v="1"/>
    <x v="4"/>
    <n v="1.02"/>
    <n v="55"/>
    <n v="14.79"/>
    <n v="94"/>
    <d v="2023-03-24T23:00:00"/>
    <d v="2023-03-24T23:55:00"/>
    <m/>
    <m/>
    <x v="2"/>
    <x v="1"/>
    <x v="1"/>
    <x v="1"/>
  </r>
  <r>
    <x v="0"/>
    <x v="2"/>
    <n v="2.71"/>
    <n v="51"/>
    <n v="7.12"/>
    <n v="90"/>
    <d v="2023-03-24T23:10:00"/>
    <d v="2023-03-25T00:01:00"/>
    <d v="2023-03-24T23:12:00"/>
    <d v="2023-03-25T00:03:00"/>
    <x v="0"/>
    <x v="2"/>
    <x v="0"/>
    <x v="0"/>
  </r>
  <r>
    <x v="2"/>
    <x v="4"/>
    <n v="3.98"/>
    <n v="90"/>
    <n v="8.91"/>
    <n v="86"/>
    <d v="2023-03-24T23:20:00"/>
    <d v="2023-03-25T00:50:00"/>
    <d v="2023-03-24T23:43:00"/>
    <d v="2023-03-25T01:13:00"/>
    <x v="1"/>
    <x v="1"/>
    <x v="0"/>
    <x v="0"/>
  </r>
  <r>
    <x v="3"/>
    <x v="0"/>
    <n v="3.02"/>
    <n v="44"/>
    <n v="2.83"/>
    <n v="98"/>
    <d v="2023-03-24T23:30:00"/>
    <d v="2023-03-25T00:14:00"/>
    <d v="2023-03-24T23:25:00"/>
    <d v="2023-03-25T00:09:00"/>
    <x v="0"/>
    <x v="1"/>
    <x v="0"/>
    <x v="0"/>
  </r>
  <r>
    <x v="1"/>
    <x v="1"/>
    <n v="4.28"/>
    <n v="84"/>
    <n v="14.44"/>
    <n v="88"/>
    <d v="2023-03-24T23:40:00"/>
    <d v="2023-03-25T01:04:00"/>
    <d v="2023-03-24T23:41:00"/>
    <d v="2023-03-25T01:05:00"/>
    <x v="0"/>
    <x v="0"/>
    <x v="0"/>
    <x v="0"/>
  </r>
  <r>
    <x v="1"/>
    <x v="1"/>
    <n v="2.17"/>
    <n v="88"/>
    <n v="3.03"/>
    <n v="80"/>
    <d v="2023-03-24T23:50:00"/>
    <d v="2023-03-25T01:18:00"/>
    <d v="2023-03-24T23:45:00"/>
    <d v="2023-03-25T01:13:00"/>
    <x v="0"/>
    <x v="1"/>
    <x v="0"/>
    <x v="0"/>
  </r>
  <r>
    <x v="1"/>
    <x v="3"/>
    <n v="4.1500000000000004"/>
    <n v="93"/>
    <n v="2.2400000000000002"/>
    <n v="97"/>
    <d v="2023-03-25T00:00:00"/>
    <d v="2023-03-25T01:33:00"/>
    <d v="2023-03-25T00:04:00"/>
    <d v="2023-03-25T01:37:00"/>
    <x v="0"/>
    <x v="2"/>
    <x v="0"/>
    <x v="0"/>
  </r>
  <r>
    <x v="0"/>
    <x v="0"/>
    <n v="4.6399999999999997"/>
    <n v="67"/>
    <n v="10.74"/>
    <n v="96"/>
    <d v="2023-03-25T00:10:00"/>
    <d v="2023-03-25T01:17:00"/>
    <d v="2023-03-25T00:15:00"/>
    <d v="2023-03-25T01:22:00"/>
    <x v="0"/>
    <x v="0"/>
    <x v="0"/>
    <x v="0"/>
  </r>
  <r>
    <x v="1"/>
    <x v="1"/>
    <n v="3.83"/>
    <n v="101"/>
    <n v="11.33"/>
    <n v="80"/>
    <d v="2023-03-25T00:20:00"/>
    <d v="2023-03-25T02:01:00"/>
    <d v="2023-03-25T00:15:00"/>
    <d v="2023-03-25T01:56:00"/>
    <x v="0"/>
    <x v="1"/>
    <x v="0"/>
    <x v="0"/>
  </r>
  <r>
    <x v="4"/>
    <x v="1"/>
    <n v="4.8600000000000003"/>
    <n v="66"/>
    <n v="8.07"/>
    <n v="93"/>
    <d v="2023-03-25T00:30:00"/>
    <d v="2023-03-25T01:36:00"/>
    <d v="2023-03-25T00:33:00"/>
    <d v="2023-03-25T01:39:00"/>
    <x v="0"/>
    <x v="0"/>
    <x v="0"/>
    <x v="0"/>
  </r>
  <r>
    <x v="2"/>
    <x v="4"/>
    <n v="2.38"/>
    <n v="43"/>
    <n v="12.77"/>
    <n v="97"/>
    <d v="2023-03-25T00:40:00"/>
    <d v="2023-03-25T01:23:00"/>
    <d v="2023-03-25T00:43:00"/>
    <d v="2023-03-25T01:26:00"/>
    <x v="0"/>
    <x v="0"/>
    <x v="0"/>
    <x v="0"/>
  </r>
  <r>
    <x v="2"/>
    <x v="2"/>
    <n v="1.49"/>
    <n v="114"/>
    <n v="10.41"/>
    <n v="84"/>
    <d v="2023-03-25T00:50:00"/>
    <d v="2023-03-25T02:44:00"/>
    <d v="2023-03-25T00:45:00"/>
    <d v="2023-03-25T02:39:00"/>
    <x v="0"/>
    <x v="1"/>
    <x v="0"/>
    <x v="0"/>
  </r>
  <r>
    <x v="3"/>
    <x v="1"/>
    <n v="4.38"/>
    <n v="64"/>
    <n v="8.7899999999999991"/>
    <n v="98"/>
    <d v="2023-03-25T01:00:00"/>
    <d v="2023-03-25T02:04:00"/>
    <d v="2023-03-25T00:57:00"/>
    <d v="2023-03-25T02:01:00"/>
    <x v="0"/>
    <x v="1"/>
    <x v="0"/>
    <x v="0"/>
  </r>
  <r>
    <x v="4"/>
    <x v="3"/>
    <n v="3.55"/>
    <n v="32"/>
    <n v="13.1"/>
    <n v="89"/>
    <d v="2023-03-25T01:10:00"/>
    <d v="2023-03-25T01:42:00"/>
    <d v="2023-03-25T01:15:00"/>
    <d v="2023-03-25T01:47:00"/>
    <x v="0"/>
    <x v="0"/>
    <x v="0"/>
    <x v="0"/>
  </r>
  <r>
    <x v="2"/>
    <x v="4"/>
    <n v="4.5"/>
    <n v="32"/>
    <n v="8.68"/>
    <n v="91"/>
    <d v="2023-03-25T01:20:00"/>
    <d v="2023-03-25T01:52:00"/>
    <d v="2023-03-25T01:47:00"/>
    <d v="2023-03-25T02:19:00"/>
    <x v="1"/>
    <x v="1"/>
    <x v="0"/>
    <x v="0"/>
  </r>
  <r>
    <x v="1"/>
    <x v="0"/>
    <n v="2.78"/>
    <n v="75"/>
    <n v="4.4000000000000004"/>
    <n v="82"/>
    <d v="2023-03-25T01:30:00"/>
    <d v="2023-03-25T02:45:00"/>
    <d v="2023-03-25T01:26:00"/>
    <d v="2023-03-25T02:41:00"/>
    <x v="0"/>
    <x v="1"/>
    <x v="0"/>
    <x v="0"/>
  </r>
  <r>
    <x v="2"/>
    <x v="4"/>
    <n v="1.88"/>
    <n v="119"/>
    <n v="4.6900000000000004"/>
    <n v="83"/>
    <d v="2023-03-25T01:40:00"/>
    <d v="2023-03-25T03:39:00"/>
    <d v="2023-03-25T01:35:00"/>
    <d v="2023-03-25T03:34:00"/>
    <x v="0"/>
    <x v="1"/>
    <x v="0"/>
    <x v="0"/>
  </r>
  <r>
    <x v="4"/>
    <x v="4"/>
    <n v="4.67"/>
    <n v="59"/>
    <n v="10.72"/>
    <n v="80"/>
    <d v="2023-03-25T01:50:00"/>
    <d v="2023-03-25T02:49:00"/>
    <d v="2023-03-25T01:51:00"/>
    <d v="2023-03-25T02:50:00"/>
    <x v="0"/>
    <x v="0"/>
    <x v="0"/>
    <x v="0"/>
  </r>
  <r>
    <x v="2"/>
    <x v="3"/>
    <n v="4.43"/>
    <n v="61"/>
    <n v="11.68"/>
    <n v="89"/>
    <d v="2023-03-25T02:00:00"/>
    <d v="2023-03-25T03:01:00"/>
    <d v="2023-03-25T01:55:00"/>
    <d v="2023-03-25T02:56:00"/>
    <x v="0"/>
    <x v="1"/>
    <x v="0"/>
    <x v="0"/>
  </r>
  <r>
    <x v="3"/>
    <x v="1"/>
    <n v="2.81"/>
    <n v="41"/>
    <n v="14.04"/>
    <n v="92"/>
    <d v="2023-03-25T02:10:00"/>
    <d v="2023-03-25T02:51:00"/>
    <d v="2023-03-25T02:33:00"/>
    <d v="2023-03-25T03:14:00"/>
    <x v="1"/>
    <x v="1"/>
    <x v="0"/>
    <x v="0"/>
  </r>
  <r>
    <x v="4"/>
    <x v="2"/>
    <n v="1.35"/>
    <n v="93"/>
    <n v="10.220000000000001"/>
    <n v="94"/>
    <d v="2023-03-25T02:20:00"/>
    <d v="2023-03-25T03:53:00"/>
    <d v="2023-03-25T02:17:00"/>
    <d v="2023-03-25T03:50:00"/>
    <x v="0"/>
    <x v="1"/>
    <x v="0"/>
    <x v="0"/>
  </r>
  <r>
    <x v="3"/>
    <x v="1"/>
    <n v="4.2300000000000004"/>
    <n v="101"/>
    <n v="9.23"/>
    <n v="87"/>
    <d v="2023-03-25T02:30:00"/>
    <d v="2023-03-25T04:11:00"/>
    <m/>
    <m/>
    <x v="2"/>
    <x v="1"/>
    <x v="1"/>
    <x v="1"/>
  </r>
  <r>
    <x v="0"/>
    <x v="3"/>
    <n v="1.73"/>
    <n v="78"/>
    <n v="7"/>
    <n v="93"/>
    <d v="2023-03-25T02:40:00"/>
    <d v="2023-03-25T03:58:00"/>
    <m/>
    <m/>
    <x v="2"/>
    <x v="1"/>
    <x v="1"/>
    <x v="1"/>
  </r>
  <r>
    <x v="2"/>
    <x v="3"/>
    <n v="3.57"/>
    <n v="98"/>
    <n v="10.050000000000001"/>
    <n v="99"/>
    <d v="2023-03-25T02:50:00"/>
    <d v="2023-03-25T04:28:00"/>
    <d v="2023-03-25T03:10:00"/>
    <d v="2023-03-25T04:48:00"/>
    <x v="1"/>
    <x v="1"/>
    <x v="0"/>
    <x v="0"/>
  </r>
  <r>
    <x v="2"/>
    <x v="1"/>
    <n v="1.1499999999999999"/>
    <n v="100"/>
    <n v="9.77"/>
    <n v="98"/>
    <d v="2023-03-25T03:00:00"/>
    <d v="2023-03-25T04:40:00"/>
    <d v="2023-03-25T03:18:00"/>
    <d v="2023-03-25T04:58:00"/>
    <x v="1"/>
    <x v="1"/>
    <x v="0"/>
    <x v="0"/>
  </r>
  <r>
    <x v="4"/>
    <x v="1"/>
    <n v="4.16"/>
    <n v="71"/>
    <n v="12.3"/>
    <n v="84"/>
    <d v="2023-03-25T03:10:00"/>
    <d v="2023-03-25T04:21:00"/>
    <m/>
    <m/>
    <x v="2"/>
    <x v="1"/>
    <x v="1"/>
    <x v="1"/>
  </r>
  <r>
    <x v="2"/>
    <x v="4"/>
    <n v="1.89"/>
    <n v="80"/>
    <n v="14.98"/>
    <n v="91"/>
    <d v="2023-03-25T03:20:00"/>
    <d v="2023-03-25T04:40:00"/>
    <d v="2023-03-25T03:17:00"/>
    <d v="2023-03-25T04:37:00"/>
    <x v="0"/>
    <x v="1"/>
    <x v="0"/>
    <x v="0"/>
  </r>
  <r>
    <x v="0"/>
    <x v="1"/>
    <n v="1.29"/>
    <n v="27"/>
    <n v="13.25"/>
    <n v="96"/>
    <d v="2023-03-25T03:30:00"/>
    <d v="2023-03-25T03:57:00"/>
    <d v="2023-03-25T03:29:00"/>
    <d v="2023-03-25T03:56:00"/>
    <x v="0"/>
    <x v="1"/>
    <x v="0"/>
    <x v="0"/>
  </r>
  <r>
    <x v="3"/>
    <x v="2"/>
    <n v="2.85"/>
    <n v="46"/>
    <n v="14.1"/>
    <n v="91"/>
    <d v="2023-03-25T03:40:00"/>
    <d v="2023-03-25T04:26:00"/>
    <d v="2023-03-25T03:51:00"/>
    <d v="2023-03-25T04:37:00"/>
    <x v="1"/>
    <x v="1"/>
    <x v="0"/>
    <x v="0"/>
  </r>
  <r>
    <x v="1"/>
    <x v="0"/>
    <n v="2.02"/>
    <n v="74"/>
    <n v="9.0500000000000007"/>
    <n v="84"/>
    <d v="2023-03-25T03:50:00"/>
    <d v="2023-03-25T05:04:00"/>
    <d v="2023-03-25T04:17:00"/>
    <d v="2023-03-25T05:31:00"/>
    <x v="1"/>
    <x v="1"/>
    <x v="0"/>
    <x v="0"/>
  </r>
  <r>
    <x v="2"/>
    <x v="1"/>
    <n v="3.71"/>
    <n v="103"/>
    <n v="5.66"/>
    <n v="92"/>
    <d v="2023-03-25T04:00:00"/>
    <d v="2023-03-25T05:43:00"/>
    <d v="2023-03-25T04:13:00"/>
    <d v="2023-03-25T05:56:00"/>
    <x v="1"/>
    <x v="1"/>
    <x v="0"/>
    <x v="0"/>
  </r>
  <r>
    <x v="3"/>
    <x v="1"/>
    <n v="3.47"/>
    <n v="60"/>
    <n v="3.53"/>
    <n v="93"/>
    <d v="2023-03-25T04:10:00"/>
    <d v="2023-03-25T05:10:00"/>
    <d v="2023-03-25T04:12:00"/>
    <d v="2023-03-25T05:12:00"/>
    <x v="0"/>
    <x v="2"/>
    <x v="0"/>
    <x v="0"/>
  </r>
  <r>
    <x v="2"/>
    <x v="2"/>
    <n v="1.9"/>
    <n v="120"/>
    <n v="10.87"/>
    <n v="97"/>
    <d v="2023-03-25T04:20:00"/>
    <d v="2023-03-25T06:20:00"/>
    <d v="2023-03-25T04:18:00"/>
    <d v="2023-03-25T06:18:00"/>
    <x v="0"/>
    <x v="1"/>
    <x v="0"/>
    <x v="0"/>
  </r>
  <r>
    <x v="1"/>
    <x v="3"/>
    <n v="3.38"/>
    <n v="104"/>
    <n v="8.83"/>
    <n v="82"/>
    <d v="2023-03-25T04:30:00"/>
    <d v="2023-03-25T06:14:00"/>
    <d v="2023-03-25T04:27:00"/>
    <d v="2023-03-25T06:11:00"/>
    <x v="0"/>
    <x v="1"/>
    <x v="0"/>
    <x v="0"/>
  </r>
  <r>
    <x v="4"/>
    <x v="3"/>
    <n v="3.77"/>
    <n v="89"/>
    <n v="5.67"/>
    <n v="98"/>
    <d v="2023-03-25T04:40:00"/>
    <d v="2023-03-25T06:09:00"/>
    <d v="2023-03-25T04:36:00"/>
    <d v="2023-03-25T06:05:00"/>
    <x v="0"/>
    <x v="1"/>
    <x v="0"/>
    <x v="0"/>
  </r>
  <r>
    <x v="4"/>
    <x v="3"/>
    <n v="1.62"/>
    <n v="87"/>
    <n v="12.82"/>
    <n v="86"/>
    <d v="2023-03-25T04:50:00"/>
    <d v="2023-03-25T06:17:00"/>
    <d v="2023-03-25T04:48:00"/>
    <d v="2023-03-25T06:15:00"/>
    <x v="0"/>
    <x v="1"/>
    <x v="0"/>
    <x v="0"/>
  </r>
  <r>
    <x v="2"/>
    <x v="3"/>
    <n v="3.05"/>
    <n v="36"/>
    <n v="6.33"/>
    <n v="99"/>
    <d v="2023-03-25T05:00:00"/>
    <d v="2023-03-25T05:36:00"/>
    <d v="2023-03-25T04:56:00"/>
    <d v="2023-03-25T05:32:00"/>
    <x v="0"/>
    <x v="1"/>
    <x v="0"/>
    <x v="0"/>
  </r>
  <r>
    <x v="0"/>
    <x v="0"/>
    <n v="4.2699999999999996"/>
    <n v="83"/>
    <n v="6.7"/>
    <n v="96"/>
    <d v="2023-03-25T05:10:00"/>
    <d v="2023-03-25T06:33:00"/>
    <d v="2023-03-25T05:14:00"/>
    <d v="2023-03-25T06:37:00"/>
    <x v="0"/>
    <x v="2"/>
    <x v="0"/>
    <x v="0"/>
  </r>
  <r>
    <x v="3"/>
    <x v="2"/>
    <n v="3.68"/>
    <n v="105"/>
    <n v="9.9499999999999993"/>
    <n v="95"/>
    <d v="2023-03-25T05:20:00"/>
    <d v="2023-03-25T07:05:00"/>
    <d v="2023-03-25T05:33:00"/>
    <d v="2023-03-25T07:18:00"/>
    <x v="1"/>
    <x v="1"/>
    <x v="0"/>
    <x v="0"/>
  </r>
  <r>
    <x v="3"/>
    <x v="3"/>
    <n v="3.35"/>
    <n v="94"/>
    <n v="9.39"/>
    <n v="89"/>
    <d v="2023-03-25T05:30:00"/>
    <d v="2023-03-25T07:04:00"/>
    <d v="2023-03-25T05:27:00"/>
    <d v="2023-03-25T07:01:00"/>
    <x v="0"/>
    <x v="1"/>
    <x v="0"/>
    <x v="0"/>
  </r>
  <r>
    <x v="4"/>
    <x v="4"/>
    <n v="4.37"/>
    <n v="118"/>
    <n v="14.12"/>
    <n v="88"/>
    <d v="2023-03-25T05:40:00"/>
    <d v="2023-03-25T07:38:00"/>
    <m/>
    <m/>
    <x v="2"/>
    <x v="1"/>
    <x v="1"/>
    <x v="1"/>
  </r>
  <r>
    <x v="2"/>
    <x v="3"/>
    <n v="4.8600000000000003"/>
    <n v="50"/>
    <n v="3.71"/>
    <n v="97"/>
    <d v="2023-03-25T05:50:00"/>
    <d v="2023-03-25T06:40:00"/>
    <m/>
    <m/>
    <x v="2"/>
    <x v="1"/>
    <x v="1"/>
    <x v="1"/>
  </r>
  <r>
    <x v="3"/>
    <x v="2"/>
    <n v="2.72"/>
    <n v="60"/>
    <n v="3.17"/>
    <n v="96"/>
    <d v="2023-03-25T06:00:00"/>
    <d v="2023-03-25T07:00:00"/>
    <m/>
    <m/>
    <x v="2"/>
    <x v="1"/>
    <x v="1"/>
    <x v="1"/>
  </r>
  <r>
    <x v="4"/>
    <x v="2"/>
    <n v="1.31"/>
    <n v="102"/>
    <n v="14.1"/>
    <n v="83"/>
    <d v="2023-03-25T06:10:00"/>
    <d v="2023-03-25T07:52:00"/>
    <d v="2023-03-25T06:15:00"/>
    <d v="2023-03-25T07:57:00"/>
    <x v="0"/>
    <x v="0"/>
    <x v="0"/>
    <x v="0"/>
  </r>
  <r>
    <x v="2"/>
    <x v="2"/>
    <n v="2.4"/>
    <n v="75"/>
    <n v="9.08"/>
    <n v="83"/>
    <d v="2023-03-25T06:20:00"/>
    <d v="2023-03-25T07:35:00"/>
    <d v="2023-03-25T06:24:00"/>
    <d v="2023-03-25T07:39:0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93973-F136-4450-9FA8-4BDBABD92049}"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B60" firstHeaderRow="1" firstDataRow="1" firstDataCol="1"/>
  <pivotFields count="14">
    <pivotField showAll="0">
      <items count="6">
        <item x="0"/>
        <item x="2"/>
        <item x="4"/>
        <item x="1"/>
        <item x="3"/>
        <item t="default"/>
      </items>
    </pivotField>
    <pivotField axis="axisRow"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showAll="0"/>
    <pivotField showAll="0">
      <items count="3">
        <item x="1"/>
        <item x="0"/>
        <item t="default"/>
      </items>
    </pivotField>
    <pivotField dataField="1" numFmtId="1" showAll="0">
      <items count="3">
        <item x="0"/>
        <item x="1"/>
        <item t="default"/>
      </items>
    </pivotField>
  </pivotFields>
  <rowFields count="1">
    <field x="1"/>
  </rowFields>
  <rowItems count="6">
    <i>
      <x/>
    </i>
    <i>
      <x v="1"/>
    </i>
    <i>
      <x v="2"/>
    </i>
    <i>
      <x v="3"/>
    </i>
    <i>
      <x v="4"/>
    </i>
    <i t="grand">
      <x/>
    </i>
  </rowItems>
  <colItems count="1">
    <i/>
  </colItems>
  <dataFields count="1">
    <dataField name="Average of Defect_Rate" fld="13"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052D2-1FAD-49D1-925C-703E42B9DE5D}"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B44" firstHeaderRow="1" firstDataRow="1" firstDataCol="1"/>
  <pivotFields count="14">
    <pivotField showAll="0">
      <items count="6">
        <item x="0"/>
        <item x="2"/>
        <item x="4"/>
        <item x="1"/>
        <item x="3"/>
        <item t="default"/>
      </items>
    </pivotField>
    <pivotField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axis="axisRow" dataField="1" showAll="0">
      <items count="5">
        <item x="2"/>
        <item x="1"/>
        <item x="0"/>
        <item x="3"/>
        <item t="default"/>
      </items>
    </pivotField>
    <pivotField showAll="0">
      <items count="3">
        <item x="1"/>
        <item x="0"/>
        <item t="default"/>
      </items>
    </pivotField>
    <pivotField numFmtId="1" showAll="0"/>
  </pivotFields>
  <rowFields count="1">
    <field x="11"/>
  </rowFields>
  <rowItems count="5">
    <i>
      <x/>
    </i>
    <i>
      <x v="1"/>
    </i>
    <i>
      <x v="2"/>
    </i>
    <i>
      <x v="3"/>
    </i>
    <i t="grand">
      <x/>
    </i>
  </rowItems>
  <colItems count="1">
    <i/>
  </colItems>
  <dataFields count="1">
    <dataField name="Count of Optimization_Category" fld="11" subtotal="count" baseField="0" baseItem="0"/>
  </dataFields>
  <chartFormats count="10">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 chart="0" format="8">
      <pivotArea type="data" outline="0" fieldPosition="0">
        <references count="2">
          <reference field="4294967294" count="1" selected="0">
            <x v="0"/>
          </reference>
          <reference field="11" count="1" selected="0">
            <x v="2"/>
          </reference>
        </references>
      </pivotArea>
    </chartFormat>
    <chartFormat chart="0" format="9">
      <pivotArea type="data" outline="0" fieldPosition="0">
        <references count="2">
          <reference field="4294967294" count="1" selected="0">
            <x v="0"/>
          </reference>
          <reference field="11"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1" count="1" selected="0">
            <x v="0"/>
          </reference>
        </references>
      </pivotArea>
    </chartFormat>
    <chartFormat chart="4" format="17">
      <pivotArea type="data" outline="0" fieldPosition="0">
        <references count="2">
          <reference field="4294967294" count="1" selected="0">
            <x v="0"/>
          </reference>
          <reference field="11" count="1" selected="0">
            <x v="1"/>
          </reference>
        </references>
      </pivotArea>
    </chartFormat>
    <chartFormat chart="4" format="18">
      <pivotArea type="data" outline="0" fieldPosition="0">
        <references count="2">
          <reference field="4294967294" count="1" selected="0">
            <x v="0"/>
          </reference>
          <reference field="11" count="1" selected="0">
            <x v="2"/>
          </reference>
        </references>
      </pivotArea>
    </chartFormat>
    <chartFormat chart="4" format="19">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36FDA-ADF2-456A-B712-C6D08E8AC203}"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4" firstHeaderRow="1" firstDataRow="1" firstDataCol="1"/>
  <pivotFields count="14">
    <pivotField showAll="0">
      <items count="6">
        <item x="0"/>
        <item x="2"/>
        <item x="4"/>
        <item x="1"/>
        <item x="3"/>
        <item t="default"/>
      </items>
    </pivotField>
    <pivotField multipleItemSelectionAllowed="1"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axis="axisRow" dataField="1" showAll="0">
      <items count="4">
        <item x="0"/>
        <item x="1"/>
        <item x="2"/>
        <item t="default"/>
      </items>
    </pivotField>
    <pivotField showAll="0"/>
    <pivotField showAll="0">
      <items count="3">
        <item x="1"/>
        <item x="0"/>
        <item t="default"/>
      </items>
    </pivotField>
    <pivotField numFmtId="1" showAll="0"/>
  </pivotFields>
  <rowFields count="1">
    <field x="10"/>
  </rowFields>
  <rowItems count="4">
    <i>
      <x/>
    </i>
    <i>
      <x v="1"/>
    </i>
    <i>
      <x v="2"/>
    </i>
    <i t="grand">
      <x/>
    </i>
  </rowItems>
  <colItems count="1">
    <i/>
  </colItems>
  <dataFields count="1">
    <dataField name="Count of Job_Status" fld="1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F202A-D1FB-414F-83D6-7302FE096FEA}"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0:B26" firstHeaderRow="1" firstDataRow="1" firstDataCol="1"/>
  <pivotFields count="14">
    <pivotField showAll="0">
      <items count="6">
        <item x="0"/>
        <item x="2"/>
        <item x="4"/>
        <item x="1"/>
        <item x="3"/>
        <item t="default"/>
      </items>
    </pivotField>
    <pivotField axis="axisRow" showAll="0">
      <items count="6">
        <item x="1"/>
        <item x="4"/>
        <item x="0"/>
        <item x="2"/>
        <item x="3"/>
        <item t="default"/>
      </items>
    </pivotField>
    <pivotField numFmtId="2" showAll="0"/>
    <pivotField numFmtId="1" showAll="0"/>
    <pivotField numFmtId="165" showAll="0"/>
    <pivotField dataField="1" showAll="0" avgSubtotal="1"/>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Items count="1">
    <i/>
  </colItems>
  <dataFields count="1">
    <dataField name="Average of Machine_Availability" fld="5"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A4DC74-31BE-41A1-9656-98875B1A948F}"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F18" firstHeaderRow="1" firstDataRow="2" firstDataCol="1"/>
  <pivotFields count="14">
    <pivotField showAll="0">
      <items count="6">
        <item x="0"/>
        <item x="2"/>
        <item x="4"/>
        <item x="1"/>
        <item x="3"/>
        <item t="default"/>
      </items>
    </pivotField>
    <pivotField axis="axisRow"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axis="axisCol" dataField="1" showAll="0">
      <items count="5">
        <item x="2"/>
        <item x="1"/>
        <item x="0"/>
        <item x="3"/>
        <item t="default"/>
      </items>
    </pivotField>
    <pivotField showAll="0">
      <items count="3">
        <item x="1"/>
        <item x="0"/>
        <item t="default"/>
      </items>
    </pivotField>
    <pivotField numFmtId="1" showAll="0"/>
  </pivotFields>
  <rowFields count="1">
    <field x="1"/>
  </rowFields>
  <rowItems count="6">
    <i>
      <x/>
    </i>
    <i>
      <x v="1"/>
    </i>
    <i>
      <x v="2"/>
    </i>
    <i>
      <x v="3"/>
    </i>
    <i>
      <x v="4"/>
    </i>
    <i t="grand">
      <x/>
    </i>
  </rowItems>
  <colFields count="1">
    <field x="11"/>
  </colFields>
  <colItems count="5">
    <i>
      <x/>
    </i>
    <i>
      <x v="1"/>
    </i>
    <i>
      <x v="2"/>
    </i>
    <i>
      <x v="3"/>
    </i>
    <i t="grand">
      <x/>
    </i>
  </colItems>
  <dataFields count="1">
    <dataField name="Count of Optimization_Category" fld="11" subtotal="count" baseField="0" baseItem="0"/>
  </dataFields>
  <chartFormats count="8">
    <chartFormat chart="24" format="0" series="1">
      <pivotArea type="data" outline="0" fieldPosition="0">
        <references count="2">
          <reference field="4294967294" count="1" selected="0">
            <x v="0"/>
          </reference>
          <reference field="11" count="1" selected="0">
            <x v="0"/>
          </reference>
        </references>
      </pivotArea>
    </chartFormat>
    <chartFormat chart="24" format="1" series="1">
      <pivotArea type="data" outline="0" fieldPosition="0">
        <references count="2">
          <reference field="4294967294" count="1" selected="0">
            <x v="0"/>
          </reference>
          <reference field="11" count="1" selected="0">
            <x v="1"/>
          </reference>
        </references>
      </pivotArea>
    </chartFormat>
    <chartFormat chart="24" format="2" series="1">
      <pivotArea type="data" outline="0" fieldPosition="0">
        <references count="2">
          <reference field="4294967294" count="1" selected="0">
            <x v="0"/>
          </reference>
          <reference field="11" count="1" selected="0">
            <x v="2"/>
          </reference>
        </references>
      </pivotArea>
    </chartFormat>
    <chartFormat chart="24" format="3" series="1">
      <pivotArea type="data" outline="0" fieldPosition="0">
        <references count="2">
          <reference field="4294967294" count="1" selected="0">
            <x v="0"/>
          </reference>
          <reference field="11" count="1" selected="0">
            <x v="3"/>
          </reference>
        </references>
      </pivotArea>
    </chartFormat>
    <chartFormat chart="30" format="8" series="1">
      <pivotArea type="data" outline="0" fieldPosition="0">
        <references count="2">
          <reference field="4294967294" count="1" selected="0">
            <x v="0"/>
          </reference>
          <reference field="11" count="1" selected="0">
            <x v="0"/>
          </reference>
        </references>
      </pivotArea>
    </chartFormat>
    <chartFormat chart="30" format="9" series="1">
      <pivotArea type="data" outline="0" fieldPosition="0">
        <references count="2">
          <reference field="4294967294" count="1" selected="0">
            <x v="0"/>
          </reference>
          <reference field="11" count="1" selected="0">
            <x v="1"/>
          </reference>
        </references>
      </pivotArea>
    </chartFormat>
    <chartFormat chart="30" format="10" series="1">
      <pivotArea type="data" outline="0" fieldPosition="0">
        <references count="2">
          <reference field="4294967294" count="1" selected="0">
            <x v="0"/>
          </reference>
          <reference field="11" count="1" selected="0">
            <x v="2"/>
          </reference>
        </references>
      </pivotArea>
    </chartFormat>
    <chartFormat chart="30"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E019B-41BD-4018-B980-5413B606841F}"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14">
    <pivotField showAll="0">
      <items count="6">
        <item x="0"/>
        <item x="2"/>
        <item x="4"/>
        <item x="1"/>
        <item x="3"/>
        <item t="default"/>
      </items>
    </pivotField>
    <pivotField axis="axisRow" showAll="0">
      <items count="6">
        <item x="1"/>
        <item x="4"/>
        <item x="0"/>
        <item x="2"/>
        <item x="3"/>
        <item t="default"/>
      </items>
    </pivotField>
    <pivotField dataField="1" numFmtId="2" showAll="0"/>
    <pivotField dataField="1" numFmtId="1" showAll="0"/>
    <pivotField dataField="1" numFmtId="165" showAll="0"/>
    <pivotField showAll="0"/>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Fields count="1">
    <field x="-2"/>
  </colFields>
  <colItems count="3">
    <i>
      <x/>
    </i>
    <i i="1">
      <x v="1"/>
    </i>
    <i i="2">
      <x v="2"/>
    </i>
  </colItems>
  <dataFields count="3">
    <dataField name="Sum of Material_Used" fld="2" baseField="0" baseItem="0" numFmtId="2"/>
    <dataField name="Sum of Processing_Time" fld="3" baseField="0" baseItem="0" numFmtId="1"/>
    <dataField name="Sum of Energy_Consumption" fld="4" baseField="0" baseItem="0" numFmtId="165"/>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2835C1-6F05-4274-93A1-17073E74C465}"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D52" firstHeaderRow="0" firstDataRow="1" firstDataCol="1"/>
  <pivotFields count="14">
    <pivotField showAll="0"/>
    <pivotField axis="axisRow" showAll="0">
      <items count="6">
        <item x="1"/>
        <item x="4"/>
        <item x="0"/>
        <item x="2"/>
        <item x="3"/>
        <item t="default"/>
      </items>
    </pivotField>
    <pivotField dataField="1" numFmtId="2" showAll="0"/>
    <pivotField dataField="1" numFmtId="1" showAll="0"/>
    <pivotField dataField="1" numFmtId="165" showAll="0"/>
    <pivotField showAll="0"/>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Fields count="1">
    <field x="-2"/>
  </colFields>
  <colItems count="3">
    <i>
      <x/>
    </i>
    <i i="1">
      <x v="1"/>
    </i>
    <i i="2">
      <x v="2"/>
    </i>
  </colItems>
  <dataFields count="3">
    <dataField name="Average of Processing_Time" fld="3" subtotal="average" baseField="0" baseItem="0" numFmtId="1"/>
    <dataField name="Average of Material_Used" fld="2" subtotal="average" baseField="0" baseItem="1" numFmtId="2"/>
    <dataField name="Average of Energy_Consumption" fld="4" subtotal="average" baseField="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2DD5C9D5-1ACB-4785-B191-BA29C5A5450F}" sourceName="Machine_ID">
  <pivotTables>
    <pivotTable tabId="3" name="PivotTable1"/>
    <pivotTable tabId="3" name="PivotTable5"/>
    <pivotTable tabId="3" name="PivotTable6"/>
    <pivotTable tabId="3" name="PivotTable7"/>
    <pivotTable tabId="3" name="PivotTable2"/>
    <pivotTable tabId="3" name="PivotTable10"/>
  </pivotTables>
  <data>
    <tabular pivotCacheId="52135415">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Type" xr10:uid="{2CB7F083-8CD5-4E5C-A669-0F02B523E496}" sourceName="Operation_Type">
  <pivotTables>
    <pivotTable tabId="3" name="PivotTable6"/>
    <pivotTable tabId="3" name="PivotTable7"/>
  </pivotTables>
  <data>
    <tabular pivotCacheId="52135415">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 xr10:uid="{A474165B-59D1-4A61-82F0-A8D5D4E44411}" sourceName="Quality">
  <pivotTables>
    <pivotTable tabId="3" name="PivotTable10"/>
    <pivotTable tabId="3" name="PivotTable1"/>
    <pivotTable tabId="3" name="PivotTable2"/>
    <pivotTable tabId="3" name="PivotTable5"/>
    <pivotTable tabId="3" name="PivotTable6"/>
    <pivotTable tabId="3" name="PivotTable7"/>
    <pivotTable tabId="3" name="PivotTable9"/>
  </pivotTables>
  <data>
    <tabular pivotCacheId="521354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xr10:uid="{EEFD84F1-2EBC-4354-98AB-1E9B6E543DF8}" cache="Slicer_Machine_ID" caption="Machine_ID" style="Slicer Style 4" rowHeight="247650"/>
  <slicer name="Operation_Type" xr10:uid="{954599A3-5B49-4DFB-93C9-04E9B63BC9FB}" cache="Slicer_Operation_Type" caption="Operation_Type" style="Slicer Style 4" rowHeight="247650"/>
  <slicer name="Quality" xr10:uid="{DBF8F1E0-89AA-48B5-A132-DFED2168A3BF}" cache="Slicer_Quality" caption="Quality"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F39FB4-68A1-4BB6-9BA9-BE04AA66FB4A}" name="Table1" displayName="Table1" ref="A1:N1001" totalsRowShown="0" headerRowDxfId="13">
  <autoFilter ref="A1:N1001" xr:uid="{3AF39FB4-68A1-4BB6-9BA9-BE04AA66FB4A}"/>
  <tableColumns count="14">
    <tableColumn id="2" xr3:uid="{18863A3D-471E-4531-8F3A-F0A62F4F4D5B}" name="Machine_ID"/>
    <tableColumn id="3" xr3:uid="{CE58AAA5-036B-4B2C-BA46-419B00F4A652}" name="Operation_Type"/>
    <tableColumn id="4" xr3:uid="{748AFB2F-B6BE-4948-9681-E426EB6965B7}" name="Material_Used" dataDxfId="12"/>
    <tableColumn id="5" xr3:uid="{468CD6AE-4FCF-49A2-964F-8D64CF440F6F}" name="Processing_Time" dataDxfId="11"/>
    <tableColumn id="6" xr3:uid="{A51E81D0-37FC-4DE3-B81E-5A3DDEEE6186}" name="Energy_Consumption" dataDxfId="10"/>
    <tableColumn id="7" xr3:uid="{A2EED6BE-D352-4D03-800E-2C32FD0F37B2}" name="Machine_Availability"/>
    <tableColumn id="8" xr3:uid="{A167F8E8-EC91-4AE1-8A21-131A7F17F542}" name="Scheduled_Start" dataDxfId="9"/>
    <tableColumn id="9" xr3:uid="{9C7A303D-344B-45D6-9E41-20CD0CC21A29}" name="Scheduled_End" dataDxfId="8"/>
    <tableColumn id="10" xr3:uid="{3430A5EB-3DD0-417D-9537-A2D4A0079F50}" name="Actual_Start" dataDxfId="7"/>
    <tableColumn id="11" xr3:uid="{CD6C63B2-9274-457C-8345-5261255D2E0F}" name="Actual_End" dataDxfId="6"/>
    <tableColumn id="12" xr3:uid="{73EB6477-25F4-4490-AA5F-30F7966EFA65}" name="Job_Status"/>
    <tableColumn id="13" xr3:uid="{D7FD3959-A9D1-4286-9A36-01D7BD0B143D}" name="Optimization_Category"/>
    <tableColumn id="19" xr3:uid="{150DF3C8-2D0A-4382-AAF6-34C97A11EED5}" name="Quality" dataDxfId="1">
      <calculatedColumnFormula>VLOOKUP(Table1[[#This Row],[Job_Status]],$V$2:$W$4,2,FALSE)</calculatedColumnFormula>
    </tableColumn>
    <tableColumn id="20" xr3:uid="{25E0F744-BDC0-4EB2-A039-AE8899D77B24}" name="Defect_rate" dataDxfId="0">
      <calculatedColumnFormula>VLOOKUP(Table1[[#This Row],[Job_Status]],$V$2:$X$4,3,FALSE)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0E82-EF63-4BBB-AACF-B90C517C0557}">
  <dimension ref="A1:M1001"/>
  <sheetViews>
    <sheetView workbookViewId="0">
      <selection sqref="A1:M1001"/>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v>3.17</v>
      </c>
      <c r="E2">
        <v>76</v>
      </c>
      <c r="F2">
        <v>11.42</v>
      </c>
      <c r="G2">
        <v>96</v>
      </c>
      <c r="H2" s="1">
        <v>45003.333333333336</v>
      </c>
      <c r="I2" s="1">
        <v>45003.386111111111</v>
      </c>
      <c r="J2" s="1">
        <v>45003.336805555555</v>
      </c>
      <c r="K2" s="1">
        <v>45003.38958333333</v>
      </c>
      <c r="L2" t="s">
        <v>16</v>
      </c>
      <c r="M2" t="s">
        <v>17</v>
      </c>
    </row>
    <row r="3" spans="1:13" x14ac:dyDescent="0.3">
      <c r="A3" t="s">
        <v>18</v>
      </c>
      <c r="B3" t="s">
        <v>14</v>
      </c>
      <c r="C3" t="s">
        <v>15</v>
      </c>
      <c r="D3">
        <v>3.35</v>
      </c>
      <c r="E3">
        <v>79</v>
      </c>
      <c r="F3">
        <v>6.61</v>
      </c>
      <c r="G3">
        <v>84</v>
      </c>
      <c r="H3" s="1">
        <v>45003.340277777781</v>
      </c>
      <c r="I3" s="1">
        <v>45003.395138888889</v>
      </c>
      <c r="J3" s="1">
        <v>45003.347222222219</v>
      </c>
      <c r="K3" s="1">
        <v>45003.402083333334</v>
      </c>
      <c r="L3" t="s">
        <v>19</v>
      </c>
      <c r="M3" t="s">
        <v>20</v>
      </c>
    </row>
    <row r="4" spans="1:13" x14ac:dyDescent="0.3">
      <c r="A4" t="s">
        <v>21</v>
      </c>
      <c r="B4" t="s">
        <v>22</v>
      </c>
      <c r="C4" t="s">
        <v>23</v>
      </c>
      <c r="D4">
        <v>2.29</v>
      </c>
      <c r="E4">
        <v>56</v>
      </c>
      <c r="F4">
        <v>11.11</v>
      </c>
      <c r="G4">
        <v>92</v>
      </c>
      <c r="H4" s="1">
        <v>45003.347222222219</v>
      </c>
      <c r="I4" s="1">
        <v>45003.386111111111</v>
      </c>
      <c r="L4" t="s">
        <v>24</v>
      </c>
      <c r="M4" t="s">
        <v>20</v>
      </c>
    </row>
    <row r="5" spans="1:13" x14ac:dyDescent="0.3">
      <c r="A5" t="s">
        <v>25</v>
      </c>
      <c r="B5" t="s">
        <v>22</v>
      </c>
      <c r="C5" t="s">
        <v>15</v>
      </c>
      <c r="D5">
        <v>1.76</v>
      </c>
      <c r="E5">
        <v>106</v>
      </c>
      <c r="F5">
        <v>12.5</v>
      </c>
      <c r="G5">
        <v>95</v>
      </c>
      <c r="H5" s="1">
        <v>45003.354166666664</v>
      </c>
      <c r="I5" s="1">
        <v>45003.427777777775</v>
      </c>
      <c r="J5" s="1">
        <v>45003.357638888891</v>
      </c>
      <c r="K5" s="1">
        <v>45003.431250000001</v>
      </c>
      <c r="L5" t="s">
        <v>16</v>
      </c>
      <c r="M5" t="s">
        <v>17</v>
      </c>
    </row>
    <row r="6" spans="1:13" x14ac:dyDescent="0.3">
      <c r="A6" t="s">
        <v>26</v>
      </c>
      <c r="B6" t="s">
        <v>14</v>
      </c>
      <c r="C6" t="s">
        <v>27</v>
      </c>
      <c r="D6">
        <v>1.9</v>
      </c>
      <c r="E6">
        <v>46</v>
      </c>
      <c r="F6">
        <v>8.1300000000000008</v>
      </c>
      <c r="G6">
        <v>88</v>
      </c>
      <c r="H6" s="1">
        <v>45003.361111111109</v>
      </c>
      <c r="I6" s="1">
        <v>45003.393055555556</v>
      </c>
      <c r="J6" s="1">
        <v>45003.362500000003</v>
      </c>
      <c r="K6" s="1">
        <v>45003.394444444442</v>
      </c>
      <c r="L6" t="s">
        <v>16</v>
      </c>
      <c r="M6" t="s">
        <v>28</v>
      </c>
    </row>
    <row r="7" spans="1:13" x14ac:dyDescent="0.3">
      <c r="A7" t="s">
        <v>29</v>
      </c>
      <c r="B7" t="s">
        <v>30</v>
      </c>
      <c r="C7" t="s">
        <v>23</v>
      </c>
      <c r="D7">
        <v>4.8600000000000003</v>
      </c>
      <c r="E7">
        <v>100</v>
      </c>
      <c r="F7">
        <v>13.83</v>
      </c>
      <c r="G7">
        <v>86</v>
      </c>
      <c r="H7" s="1">
        <v>45003.368055555555</v>
      </c>
      <c r="I7" s="1">
        <v>45003.4375</v>
      </c>
      <c r="J7" s="1">
        <v>45003.370138888888</v>
      </c>
      <c r="K7" s="1">
        <v>45003.439583333333</v>
      </c>
      <c r="L7" t="s">
        <v>16</v>
      </c>
      <c r="M7" t="s">
        <v>17</v>
      </c>
    </row>
    <row r="8" spans="1:13" x14ac:dyDescent="0.3">
      <c r="A8" t="s">
        <v>31</v>
      </c>
      <c r="B8" t="s">
        <v>22</v>
      </c>
      <c r="C8" t="s">
        <v>32</v>
      </c>
      <c r="D8">
        <v>4.67</v>
      </c>
      <c r="E8">
        <v>22</v>
      </c>
      <c r="F8">
        <v>14.2</v>
      </c>
      <c r="G8">
        <v>87</v>
      </c>
      <c r="H8" s="1">
        <v>45003.375</v>
      </c>
      <c r="I8" s="1">
        <v>45003.390277777777</v>
      </c>
      <c r="J8" s="1">
        <v>45003.37777777778</v>
      </c>
      <c r="K8" s="1">
        <v>45003.393055555556</v>
      </c>
      <c r="L8" t="s">
        <v>16</v>
      </c>
      <c r="M8" t="s">
        <v>17</v>
      </c>
    </row>
    <row r="9" spans="1:13" x14ac:dyDescent="0.3">
      <c r="A9" t="s">
        <v>33</v>
      </c>
      <c r="B9" t="s">
        <v>34</v>
      </c>
      <c r="C9" t="s">
        <v>15</v>
      </c>
      <c r="D9">
        <v>1.57</v>
      </c>
      <c r="E9">
        <v>79</v>
      </c>
      <c r="F9">
        <v>13.86</v>
      </c>
      <c r="G9">
        <v>91</v>
      </c>
      <c r="H9" s="1">
        <v>45003.381944444445</v>
      </c>
      <c r="I9" s="1">
        <v>45003.436805555553</v>
      </c>
      <c r="J9" s="1">
        <v>45003.380555555559</v>
      </c>
      <c r="K9" s="1">
        <v>45003.435416666667</v>
      </c>
      <c r="L9" t="s">
        <v>16</v>
      </c>
      <c r="M9" t="s">
        <v>20</v>
      </c>
    </row>
    <row r="10" spans="1:13" x14ac:dyDescent="0.3">
      <c r="A10" t="s">
        <v>35</v>
      </c>
      <c r="B10" t="s">
        <v>30</v>
      </c>
      <c r="C10" t="s">
        <v>36</v>
      </c>
      <c r="D10">
        <v>3.49</v>
      </c>
      <c r="E10">
        <v>42</v>
      </c>
      <c r="F10">
        <v>8.9700000000000006</v>
      </c>
      <c r="G10">
        <v>81</v>
      </c>
      <c r="H10" s="1">
        <v>45003.388888888891</v>
      </c>
      <c r="I10" s="1">
        <v>45003.418055555558</v>
      </c>
      <c r="J10" s="1">
        <v>45003.390972222223</v>
      </c>
      <c r="K10" s="1">
        <v>45003.420138888891</v>
      </c>
      <c r="L10" t="s">
        <v>16</v>
      </c>
      <c r="M10" t="s">
        <v>17</v>
      </c>
    </row>
    <row r="11" spans="1:13" x14ac:dyDescent="0.3">
      <c r="A11" t="s">
        <v>37</v>
      </c>
      <c r="B11" t="s">
        <v>14</v>
      </c>
      <c r="C11" t="s">
        <v>36</v>
      </c>
      <c r="D11">
        <v>2.1</v>
      </c>
      <c r="E11">
        <v>27</v>
      </c>
      <c r="F11">
        <v>3.66</v>
      </c>
      <c r="G11">
        <v>97</v>
      </c>
      <c r="H11" s="1">
        <v>45003.395833333336</v>
      </c>
      <c r="I11" s="1">
        <v>45003.414583333331</v>
      </c>
      <c r="J11" s="1">
        <v>45003.412499999999</v>
      </c>
      <c r="K11" s="1">
        <v>45003.431250000001</v>
      </c>
      <c r="L11" t="s">
        <v>19</v>
      </c>
      <c r="M11" t="s">
        <v>20</v>
      </c>
    </row>
    <row r="12" spans="1:13" x14ac:dyDescent="0.3">
      <c r="A12" t="s">
        <v>38</v>
      </c>
      <c r="B12" t="s">
        <v>14</v>
      </c>
      <c r="C12" t="s">
        <v>27</v>
      </c>
      <c r="D12">
        <v>3.02</v>
      </c>
      <c r="E12">
        <v>65</v>
      </c>
      <c r="F12">
        <v>9.98</v>
      </c>
      <c r="G12">
        <v>90</v>
      </c>
      <c r="H12" s="1">
        <v>45003.402777777781</v>
      </c>
      <c r="I12" s="1">
        <v>45003.447916666664</v>
      </c>
      <c r="J12" s="1">
        <v>45003.401388888888</v>
      </c>
      <c r="K12" s="1">
        <v>45003.446527777778</v>
      </c>
      <c r="L12" t="s">
        <v>16</v>
      </c>
      <c r="M12" t="s">
        <v>20</v>
      </c>
    </row>
    <row r="13" spans="1:13" x14ac:dyDescent="0.3">
      <c r="A13" t="s">
        <v>39</v>
      </c>
      <c r="B13" t="s">
        <v>40</v>
      </c>
      <c r="C13" t="s">
        <v>15</v>
      </c>
      <c r="D13">
        <v>2.71</v>
      </c>
      <c r="E13">
        <v>28</v>
      </c>
      <c r="F13">
        <v>8.08</v>
      </c>
      <c r="G13">
        <v>88</v>
      </c>
      <c r="H13" s="1">
        <v>45003.409722222219</v>
      </c>
      <c r="I13" s="1">
        <v>45003.429166666669</v>
      </c>
      <c r="J13" s="1">
        <v>45003.427083333336</v>
      </c>
      <c r="K13" s="1">
        <v>45003.446527777778</v>
      </c>
      <c r="L13" t="s">
        <v>19</v>
      </c>
      <c r="M13" t="s">
        <v>20</v>
      </c>
    </row>
    <row r="14" spans="1:13" x14ac:dyDescent="0.3">
      <c r="A14" t="s">
        <v>41</v>
      </c>
      <c r="B14" t="s">
        <v>40</v>
      </c>
      <c r="C14" t="s">
        <v>27</v>
      </c>
      <c r="D14">
        <v>3.1</v>
      </c>
      <c r="E14">
        <v>43</v>
      </c>
      <c r="F14">
        <v>5.55</v>
      </c>
      <c r="G14">
        <v>95</v>
      </c>
      <c r="H14" s="1">
        <v>45003.416666666664</v>
      </c>
      <c r="I14" s="1">
        <v>45003.446527777778</v>
      </c>
      <c r="J14" s="1">
        <v>45003.420138888891</v>
      </c>
      <c r="K14" s="1">
        <v>45003.45</v>
      </c>
      <c r="L14" t="s">
        <v>16</v>
      </c>
      <c r="M14" t="s">
        <v>28</v>
      </c>
    </row>
    <row r="15" spans="1:13" x14ac:dyDescent="0.3">
      <c r="A15" t="s">
        <v>42</v>
      </c>
      <c r="B15" t="s">
        <v>22</v>
      </c>
      <c r="C15" t="s">
        <v>23</v>
      </c>
      <c r="D15">
        <v>2.33</v>
      </c>
      <c r="E15">
        <v>112</v>
      </c>
      <c r="F15">
        <v>2.0099999999999998</v>
      </c>
      <c r="G15">
        <v>95</v>
      </c>
      <c r="H15" s="1">
        <v>45003.423611111109</v>
      </c>
      <c r="I15" s="1">
        <v>45003.501388888886</v>
      </c>
      <c r="J15" s="1">
        <v>45003.423611111109</v>
      </c>
      <c r="K15" s="1">
        <v>45003.501388888886</v>
      </c>
      <c r="L15" t="s">
        <v>16</v>
      </c>
      <c r="M15" t="s">
        <v>43</v>
      </c>
    </row>
    <row r="16" spans="1:13" x14ac:dyDescent="0.3">
      <c r="A16" t="s">
        <v>44</v>
      </c>
      <c r="B16" t="s">
        <v>34</v>
      </c>
      <c r="C16" t="s">
        <v>23</v>
      </c>
      <c r="D16">
        <v>3.92</v>
      </c>
      <c r="E16">
        <v>104</v>
      </c>
      <c r="F16">
        <v>3.67</v>
      </c>
      <c r="G16">
        <v>98</v>
      </c>
      <c r="H16" s="1">
        <v>45003.430555555555</v>
      </c>
      <c r="I16" s="1">
        <v>45003.50277777778</v>
      </c>
      <c r="J16" s="1">
        <v>45003.433333333334</v>
      </c>
      <c r="K16" s="1">
        <v>45003.505555555559</v>
      </c>
      <c r="L16" t="s">
        <v>16</v>
      </c>
      <c r="M16" t="s">
        <v>28</v>
      </c>
    </row>
    <row r="17" spans="1:13" x14ac:dyDescent="0.3">
      <c r="A17" t="s">
        <v>45</v>
      </c>
      <c r="B17" t="s">
        <v>14</v>
      </c>
      <c r="C17" t="s">
        <v>23</v>
      </c>
      <c r="D17">
        <v>2.09</v>
      </c>
      <c r="E17">
        <v>65</v>
      </c>
      <c r="F17">
        <v>12.29</v>
      </c>
      <c r="G17">
        <v>96</v>
      </c>
      <c r="H17" s="1">
        <v>45003.4375</v>
      </c>
      <c r="I17" s="1">
        <v>45003.482638888891</v>
      </c>
      <c r="J17" s="1">
        <v>45003.436111111114</v>
      </c>
      <c r="K17" s="1">
        <v>45003.481249999997</v>
      </c>
      <c r="L17" t="s">
        <v>16</v>
      </c>
      <c r="M17" t="s">
        <v>20</v>
      </c>
    </row>
    <row r="18" spans="1:13" x14ac:dyDescent="0.3">
      <c r="A18" t="s">
        <v>46</v>
      </c>
      <c r="B18" t="s">
        <v>40</v>
      </c>
      <c r="C18" t="s">
        <v>27</v>
      </c>
      <c r="D18">
        <v>4.3</v>
      </c>
      <c r="E18">
        <v>115</v>
      </c>
      <c r="F18">
        <v>9.44</v>
      </c>
      <c r="G18">
        <v>80</v>
      </c>
      <c r="H18" s="1">
        <v>45003.444444444445</v>
      </c>
      <c r="I18" s="1">
        <v>45003.524305555555</v>
      </c>
      <c r="J18" s="1">
        <v>45003.442361111112</v>
      </c>
      <c r="K18" s="1">
        <v>45003.522222222222</v>
      </c>
      <c r="L18" t="s">
        <v>16</v>
      </c>
      <c r="M18" t="s">
        <v>20</v>
      </c>
    </row>
    <row r="19" spans="1:13" x14ac:dyDescent="0.3">
      <c r="A19" t="s">
        <v>47</v>
      </c>
      <c r="B19" t="s">
        <v>34</v>
      </c>
      <c r="C19" t="s">
        <v>27</v>
      </c>
      <c r="D19">
        <v>2.25</v>
      </c>
      <c r="E19">
        <v>55</v>
      </c>
      <c r="F19">
        <v>10.95</v>
      </c>
      <c r="G19">
        <v>94</v>
      </c>
      <c r="H19" s="1">
        <v>45003.451388888891</v>
      </c>
      <c r="I19" s="1">
        <v>45003.489583333336</v>
      </c>
      <c r="J19" s="1">
        <v>45003.45</v>
      </c>
      <c r="K19" s="1">
        <v>45003.488194444442</v>
      </c>
      <c r="L19" t="s">
        <v>16</v>
      </c>
      <c r="M19" t="s">
        <v>20</v>
      </c>
    </row>
    <row r="20" spans="1:13" x14ac:dyDescent="0.3">
      <c r="A20" t="s">
        <v>48</v>
      </c>
      <c r="B20" t="s">
        <v>30</v>
      </c>
      <c r="C20" t="s">
        <v>32</v>
      </c>
      <c r="D20">
        <v>4.62</v>
      </c>
      <c r="E20">
        <v>52</v>
      </c>
      <c r="F20">
        <v>3.27</v>
      </c>
      <c r="G20">
        <v>82</v>
      </c>
      <c r="H20" s="1">
        <v>45003.458333333336</v>
      </c>
      <c r="I20" s="1">
        <v>45003.494444444441</v>
      </c>
      <c r="J20" s="1">
        <v>45003.456944444442</v>
      </c>
      <c r="K20" s="1">
        <v>45003.493055555555</v>
      </c>
      <c r="L20" t="s">
        <v>16</v>
      </c>
      <c r="M20" t="s">
        <v>20</v>
      </c>
    </row>
    <row r="21" spans="1:13" x14ac:dyDescent="0.3">
      <c r="A21" t="s">
        <v>49</v>
      </c>
      <c r="B21" t="s">
        <v>34</v>
      </c>
      <c r="C21" t="s">
        <v>27</v>
      </c>
      <c r="D21">
        <v>1.39</v>
      </c>
      <c r="E21">
        <v>42</v>
      </c>
      <c r="F21">
        <v>14.19</v>
      </c>
      <c r="G21">
        <v>91</v>
      </c>
      <c r="H21" s="1">
        <v>45003.465277777781</v>
      </c>
      <c r="I21" s="1">
        <v>45003.494444444441</v>
      </c>
      <c r="J21" s="1">
        <v>45003.46875</v>
      </c>
      <c r="K21" s="1">
        <v>45003.497916666667</v>
      </c>
      <c r="L21" t="s">
        <v>16</v>
      </c>
      <c r="M21" t="s">
        <v>17</v>
      </c>
    </row>
    <row r="22" spans="1:13" x14ac:dyDescent="0.3">
      <c r="A22" t="s">
        <v>50</v>
      </c>
      <c r="B22" t="s">
        <v>30</v>
      </c>
      <c r="C22" t="s">
        <v>32</v>
      </c>
      <c r="D22">
        <v>3.95</v>
      </c>
      <c r="E22">
        <v>107</v>
      </c>
      <c r="F22">
        <v>13.73</v>
      </c>
      <c r="G22">
        <v>83</v>
      </c>
      <c r="H22" s="1">
        <v>45003.472222222219</v>
      </c>
      <c r="I22" s="1">
        <v>45003.546527777777</v>
      </c>
      <c r="J22" s="1">
        <v>45003.46875</v>
      </c>
      <c r="K22" s="1">
        <v>45003.543055555558</v>
      </c>
      <c r="L22" t="s">
        <v>16</v>
      </c>
      <c r="M22" t="s">
        <v>20</v>
      </c>
    </row>
    <row r="23" spans="1:13" x14ac:dyDescent="0.3">
      <c r="A23" t="s">
        <v>51</v>
      </c>
      <c r="B23" t="s">
        <v>40</v>
      </c>
      <c r="C23" t="s">
        <v>23</v>
      </c>
      <c r="D23">
        <v>3.3</v>
      </c>
      <c r="E23">
        <v>64</v>
      </c>
      <c r="F23">
        <v>4.1399999999999997</v>
      </c>
      <c r="G23">
        <v>93</v>
      </c>
      <c r="H23" s="1">
        <v>45003.479166666664</v>
      </c>
      <c r="I23" s="1">
        <v>45003.523611111108</v>
      </c>
      <c r="J23" s="1">
        <v>45003.488888888889</v>
      </c>
      <c r="K23" s="1">
        <v>45003.533333333333</v>
      </c>
      <c r="L23" t="s">
        <v>19</v>
      </c>
      <c r="M23" t="s">
        <v>20</v>
      </c>
    </row>
    <row r="24" spans="1:13" x14ac:dyDescent="0.3">
      <c r="A24" t="s">
        <v>52</v>
      </c>
      <c r="B24" t="s">
        <v>14</v>
      </c>
      <c r="C24" t="s">
        <v>36</v>
      </c>
      <c r="D24">
        <v>4.8600000000000003</v>
      </c>
      <c r="E24">
        <v>98</v>
      </c>
      <c r="F24">
        <v>13.49</v>
      </c>
      <c r="G24">
        <v>89</v>
      </c>
      <c r="H24" s="1">
        <v>45003.486111111109</v>
      </c>
      <c r="I24" s="1">
        <v>45003.554166666669</v>
      </c>
      <c r="J24" s="1">
        <v>45003.482638888891</v>
      </c>
      <c r="K24" s="1">
        <v>45003.550694444442</v>
      </c>
      <c r="L24" t="s">
        <v>16</v>
      </c>
      <c r="M24" t="s">
        <v>20</v>
      </c>
    </row>
    <row r="25" spans="1:13" x14ac:dyDescent="0.3">
      <c r="A25" t="s">
        <v>53</v>
      </c>
      <c r="B25" t="s">
        <v>30</v>
      </c>
      <c r="C25" t="s">
        <v>15</v>
      </c>
      <c r="D25">
        <v>1.84</v>
      </c>
      <c r="E25">
        <v>84</v>
      </c>
      <c r="F25">
        <v>8.81</v>
      </c>
      <c r="G25">
        <v>98</v>
      </c>
      <c r="H25" s="1">
        <v>45003.493055555555</v>
      </c>
      <c r="I25" s="1">
        <v>45003.551388888889</v>
      </c>
      <c r="J25" s="1">
        <v>45003.509027777778</v>
      </c>
      <c r="K25" s="1">
        <v>45003.567361111112</v>
      </c>
      <c r="L25" t="s">
        <v>19</v>
      </c>
      <c r="M25" t="s">
        <v>20</v>
      </c>
    </row>
    <row r="26" spans="1:13" x14ac:dyDescent="0.3">
      <c r="A26" t="s">
        <v>54</v>
      </c>
      <c r="B26" t="s">
        <v>22</v>
      </c>
      <c r="C26" t="s">
        <v>27</v>
      </c>
      <c r="D26">
        <v>1.84</v>
      </c>
      <c r="E26">
        <v>119</v>
      </c>
      <c r="F26">
        <v>5.0999999999999996</v>
      </c>
      <c r="G26">
        <v>82</v>
      </c>
      <c r="H26" s="1">
        <v>45003.5</v>
      </c>
      <c r="I26" s="1">
        <v>45003.582638888889</v>
      </c>
      <c r="L26" t="s">
        <v>24</v>
      </c>
      <c r="M26" t="s">
        <v>20</v>
      </c>
    </row>
    <row r="27" spans="1:13" x14ac:dyDescent="0.3">
      <c r="A27" t="s">
        <v>55</v>
      </c>
      <c r="B27" t="s">
        <v>14</v>
      </c>
      <c r="C27" t="s">
        <v>23</v>
      </c>
      <c r="D27">
        <v>1.1399999999999999</v>
      </c>
      <c r="E27">
        <v>21</v>
      </c>
      <c r="F27">
        <v>3.89</v>
      </c>
      <c r="G27">
        <v>97</v>
      </c>
      <c r="H27" s="1">
        <v>45003.506944444445</v>
      </c>
      <c r="I27" s="1">
        <v>45003.521527777775</v>
      </c>
      <c r="J27" s="1">
        <v>45003.506944444445</v>
      </c>
      <c r="K27" s="1">
        <v>45003.521527777775</v>
      </c>
      <c r="L27" t="s">
        <v>16</v>
      </c>
      <c r="M27" t="s">
        <v>28</v>
      </c>
    </row>
    <row r="28" spans="1:13" x14ac:dyDescent="0.3">
      <c r="A28" t="s">
        <v>56</v>
      </c>
      <c r="B28" t="s">
        <v>40</v>
      </c>
      <c r="C28" t="s">
        <v>27</v>
      </c>
      <c r="D28">
        <v>4.03</v>
      </c>
      <c r="E28">
        <v>87</v>
      </c>
      <c r="F28">
        <v>11.34</v>
      </c>
      <c r="G28">
        <v>80</v>
      </c>
      <c r="H28" s="1">
        <v>45003.513888888891</v>
      </c>
      <c r="I28" s="1">
        <v>45003.574305555558</v>
      </c>
      <c r="L28" t="s">
        <v>24</v>
      </c>
      <c r="M28" t="s">
        <v>20</v>
      </c>
    </row>
    <row r="29" spans="1:13" x14ac:dyDescent="0.3">
      <c r="A29" t="s">
        <v>57</v>
      </c>
      <c r="B29" t="s">
        <v>40</v>
      </c>
      <c r="C29" t="s">
        <v>32</v>
      </c>
      <c r="D29">
        <v>3.21</v>
      </c>
      <c r="E29">
        <v>93</v>
      </c>
      <c r="F29">
        <v>4.16</v>
      </c>
      <c r="G29">
        <v>98</v>
      </c>
      <c r="H29" s="1">
        <v>45003.520833333336</v>
      </c>
      <c r="I29" s="1">
        <v>45003.585416666669</v>
      </c>
      <c r="J29" s="1">
        <v>45003.519444444442</v>
      </c>
      <c r="K29" s="1">
        <v>45003.584027777775</v>
      </c>
      <c r="L29" t="s">
        <v>16</v>
      </c>
      <c r="M29" t="s">
        <v>20</v>
      </c>
    </row>
    <row r="30" spans="1:13" x14ac:dyDescent="0.3">
      <c r="A30" t="s">
        <v>58</v>
      </c>
      <c r="B30" t="s">
        <v>30</v>
      </c>
      <c r="C30" t="s">
        <v>32</v>
      </c>
      <c r="D30">
        <v>3.47</v>
      </c>
      <c r="E30">
        <v>116</v>
      </c>
      <c r="F30">
        <v>5.39</v>
      </c>
      <c r="G30">
        <v>91</v>
      </c>
      <c r="H30" s="1">
        <v>45003.527777777781</v>
      </c>
      <c r="I30" s="1">
        <v>45003.60833333333</v>
      </c>
      <c r="J30" s="1">
        <v>45003.527083333334</v>
      </c>
      <c r="K30" s="1">
        <v>45003.607638888891</v>
      </c>
      <c r="L30" t="s">
        <v>16</v>
      </c>
      <c r="M30" t="s">
        <v>20</v>
      </c>
    </row>
    <row r="31" spans="1:13" x14ac:dyDescent="0.3">
      <c r="A31" t="s">
        <v>59</v>
      </c>
      <c r="B31" t="s">
        <v>34</v>
      </c>
      <c r="C31" t="s">
        <v>15</v>
      </c>
      <c r="D31">
        <v>4.62</v>
      </c>
      <c r="E31">
        <v>66</v>
      </c>
      <c r="F31">
        <v>10.36</v>
      </c>
      <c r="G31">
        <v>89</v>
      </c>
      <c r="H31" s="1">
        <v>45003.534722222219</v>
      </c>
      <c r="I31" s="1">
        <v>45003.580555555556</v>
      </c>
      <c r="J31" s="1">
        <v>45003.535416666666</v>
      </c>
      <c r="K31" s="1">
        <v>45003.581250000003</v>
      </c>
      <c r="L31" t="s">
        <v>16</v>
      </c>
      <c r="M31" t="s">
        <v>17</v>
      </c>
    </row>
    <row r="32" spans="1:13" x14ac:dyDescent="0.3">
      <c r="A32" t="s">
        <v>60</v>
      </c>
      <c r="B32" t="s">
        <v>40</v>
      </c>
      <c r="C32" t="s">
        <v>15</v>
      </c>
      <c r="D32">
        <v>1.7</v>
      </c>
      <c r="E32">
        <v>37</v>
      </c>
      <c r="F32">
        <v>3.21</v>
      </c>
      <c r="G32">
        <v>96</v>
      </c>
      <c r="H32" s="1">
        <v>45003.541666666664</v>
      </c>
      <c r="I32" s="1">
        <v>45003.567361111112</v>
      </c>
      <c r="J32" s="1">
        <v>45003.543055555558</v>
      </c>
      <c r="K32" s="1">
        <v>45003.568749999999</v>
      </c>
      <c r="L32" t="s">
        <v>16</v>
      </c>
      <c r="M32" t="s">
        <v>28</v>
      </c>
    </row>
    <row r="33" spans="1:13" x14ac:dyDescent="0.3">
      <c r="A33" t="s">
        <v>61</v>
      </c>
      <c r="B33" t="s">
        <v>40</v>
      </c>
      <c r="C33" t="s">
        <v>36</v>
      </c>
      <c r="D33">
        <v>3.02</v>
      </c>
      <c r="E33">
        <v>78</v>
      </c>
      <c r="F33">
        <v>4.93</v>
      </c>
      <c r="G33">
        <v>80</v>
      </c>
      <c r="H33" s="1">
        <v>45003.548611111109</v>
      </c>
      <c r="I33" s="1">
        <v>45003.602777777778</v>
      </c>
      <c r="J33" s="1">
        <v>45003.550694444442</v>
      </c>
      <c r="K33" s="1">
        <v>45003.604861111111</v>
      </c>
      <c r="L33" t="s">
        <v>16</v>
      </c>
      <c r="M33" t="s">
        <v>28</v>
      </c>
    </row>
    <row r="34" spans="1:13" x14ac:dyDescent="0.3">
      <c r="A34" t="s">
        <v>62</v>
      </c>
      <c r="B34" t="s">
        <v>22</v>
      </c>
      <c r="C34" t="s">
        <v>27</v>
      </c>
      <c r="D34">
        <v>3.7</v>
      </c>
      <c r="E34">
        <v>103</v>
      </c>
      <c r="F34">
        <v>8.02</v>
      </c>
      <c r="G34">
        <v>80</v>
      </c>
      <c r="H34" s="1">
        <v>45003.555555555555</v>
      </c>
      <c r="I34" s="1">
        <v>45003.627083333333</v>
      </c>
      <c r="J34" s="1">
        <v>45003.564583333333</v>
      </c>
      <c r="K34" s="1">
        <v>45003.636111111111</v>
      </c>
      <c r="L34" t="s">
        <v>19</v>
      </c>
      <c r="M34" t="s">
        <v>20</v>
      </c>
    </row>
    <row r="35" spans="1:13" x14ac:dyDescent="0.3">
      <c r="A35" t="s">
        <v>63</v>
      </c>
      <c r="B35" t="s">
        <v>14</v>
      </c>
      <c r="C35" t="s">
        <v>15</v>
      </c>
      <c r="D35">
        <v>1.47</v>
      </c>
      <c r="E35">
        <v>110</v>
      </c>
      <c r="F35">
        <v>12.52</v>
      </c>
      <c r="G35">
        <v>86</v>
      </c>
      <c r="H35" s="1">
        <v>45003.5625</v>
      </c>
      <c r="I35" s="1">
        <v>45003.638888888891</v>
      </c>
      <c r="J35" s="1">
        <v>45003.57916666667</v>
      </c>
      <c r="K35" s="1">
        <v>45003.655555555553</v>
      </c>
      <c r="L35" t="s">
        <v>19</v>
      </c>
      <c r="M35" t="s">
        <v>20</v>
      </c>
    </row>
    <row r="36" spans="1:13" x14ac:dyDescent="0.3">
      <c r="A36" t="s">
        <v>64</v>
      </c>
      <c r="B36" t="s">
        <v>30</v>
      </c>
      <c r="C36" t="s">
        <v>36</v>
      </c>
      <c r="D36">
        <v>2.0499999999999998</v>
      </c>
      <c r="E36">
        <v>47</v>
      </c>
      <c r="F36">
        <v>12.12</v>
      </c>
      <c r="G36">
        <v>82</v>
      </c>
      <c r="H36" s="1">
        <v>45003.569444444445</v>
      </c>
      <c r="I36" s="1">
        <v>45003.602083333331</v>
      </c>
      <c r="J36" s="1">
        <v>45003.570138888892</v>
      </c>
      <c r="K36" s="1">
        <v>45003.602777777778</v>
      </c>
      <c r="L36" t="s">
        <v>16</v>
      </c>
      <c r="M36" t="s">
        <v>17</v>
      </c>
    </row>
    <row r="37" spans="1:13" x14ac:dyDescent="0.3">
      <c r="A37" t="s">
        <v>65</v>
      </c>
      <c r="B37" t="s">
        <v>22</v>
      </c>
      <c r="C37" t="s">
        <v>23</v>
      </c>
      <c r="D37">
        <v>1.76</v>
      </c>
      <c r="E37">
        <v>99</v>
      </c>
      <c r="F37">
        <v>4.72</v>
      </c>
      <c r="G37">
        <v>96</v>
      </c>
      <c r="H37" s="1">
        <v>45003.576388888891</v>
      </c>
      <c r="I37" s="1">
        <v>45003.645138888889</v>
      </c>
      <c r="J37" s="1">
        <v>45003.574305555558</v>
      </c>
      <c r="K37" s="1">
        <v>45003.643055555556</v>
      </c>
      <c r="L37" t="s">
        <v>16</v>
      </c>
      <c r="M37" t="s">
        <v>20</v>
      </c>
    </row>
    <row r="38" spans="1:13" x14ac:dyDescent="0.3">
      <c r="A38" t="s">
        <v>66</v>
      </c>
      <c r="B38" t="s">
        <v>14</v>
      </c>
      <c r="C38" t="s">
        <v>32</v>
      </c>
      <c r="D38">
        <v>4.5999999999999996</v>
      </c>
      <c r="E38">
        <v>79</v>
      </c>
      <c r="F38">
        <v>13.17</v>
      </c>
      <c r="G38">
        <v>88</v>
      </c>
      <c r="H38" s="1">
        <v>45003.583333333336</v>
      </c>
      <c r="I38" s="1">
        <v>45003.638194444444</v>
      </c>
      <c r="J38" s="1">
        <v>45003.584722222222</v>
      </c>
      <c r="K38" s="1">
        <v>45003.63958333333</v>
      </c>
      <c r="L38" t="s">
        <v>16</v>
      </c>
      <c r="M38" t="s">
        <v>17</v>
      </c>
    </row>
    <row r="39" spans="1:13" x14ac:dyDescent="0.3">
      <c r="A39" t="s">
        <v>67</v>
      </c>
      <c r="B39" t="s">
        <v>14</v>
      </c>
      <c r="C39" t="s">
        <v>15</v>
      </c>
      <c r="D39">
        <v>4.7699999999999996</v>
      </c>
      <c r="E39">
        <v>43</v>
      </c>
      <c r="F39">
        <v>4.9800000000000004</v>
      </c>
      <c r="G39">
        <v>94</v>
      </c>
      <c r="H39" s="1">
        <v>45003.590277777781</v>
      </c>
      <c r="I39" s="1">
        <v>45003.620138888888</v>
      </c>
      <c r="J39" s="1">
        <v>45003.590277777781</v>
      </c>
      <c r="K39" s="1">
        <v>45003.620138888888</v>
      </c>
      <c r="L39" t="s">
        <v>16</v>
      </c>
      <c r="M39" t="s">
        <v>28</v>
      </c>
    </row>
    <row r="40" spans="1:13" x14ac:dyDescent="0.3">
      <c r="A40" t="s">
        <v>68</v>
      </c>
      <c r="B40" t="s">
        <v>30</v>
      </c>
      <c r="C40" t="s">
        <v>36</v>
      </c>
      <c r="D40">
        <v>4.0599999999999996</v>
      </c>
      <c r="E40">
        <v>48</v>
      </c>
      <c r="F40">
        <v>10.65</v>
      </c>
      <c r="G40">
        <v>86</v>
      </c>
      <c r="H40" s="1">
        <v>45003.597222222219</v>
      </c>
      <c r="I40" s="1">
        <v>45003.630555555559</v>
      </c>
      <c r="L40" t="s">
        <v>24</v>
      </c>
      <c r="M40" t="s">
        <v>20</v>
      </c>
    </row>
    <row r="41" spans="1:13" x14ac:dyDescent="0.3">
      <c r="A41" t="s">
        <v>69</v>
      </c>
      <c r="B41" t="s">
        <v>14</v>
      </c>
      <c r="C41" t="s">
        <v>27</v>
      </c>
      <c r="D41">
        <v>2.29</v>
      </c>
      <c r="E41">
        <v>50</v>
      </c>
      <c r="F41">
        <v>9.94</v>
      </c>
      <c r="G41">
        <v>97</v>
      </c>
      <c r="H41" s="1">
        <v>45003.604166666664</v>
      </c>
      <c r="I41" s="1">
        <v>45003.638888888891</v>
      </c>
      <c r="J41" s="1">
        <v>45003.603472222225</v>
      </c>
      <c r="K41" s="1">
        <v>45003.638194444444</v>
      </c>
      <c r="L41" t="s">
        <v>16</v>
      </c>
      <c r="M41" t="s">
        <v>20</v>
      </c>
    </row>
    <row r="42" spans="1:13" x14ac:dyDescent="0.3">
      <c r="A42" t="s">
        <v>70</v>
      </c>
      <c r="B42" t="s">
        <v>22</v>
      </c>
      <c r="C42" t="s">
        <v>32</v>
      </c>
      <c r="D42">
        <v>1.1499999999999999</v>
      </c>
      <c r="E42">
        <v>88</v>
      </c>
      <c r="F42">
        <v>11.64</v>
      </c>
      <c r="G42">
        <v>82</v>
      </c>
      <c r="H42" s="1">
        <v>45003.611111111109</v>
      </c>
      <c r="I42" s="1">
        <v>45003.672222222223</v>
      </c>
      <c r="J42" s="1">
        <v>45003.613194444442</v>
      </c>
      <c r="K42" s="1">
        <v>45003.674305555556</v>
      </c>
      <c r="L42" t="s">
        <v>16</v>
      </c>
      <c r="M42" t="s">
        <v>17</v>
      </c>
    </row>
    <row r="43" spans="1:13" x14ac:dyDescent="0.3">
      <c r="A43" t="s">
        <v>71</v>
      </c>
      <c r="B43" t="s">
        <v>22</v>
      </c>
      <c r="C43" t="s">
        <v>23</v>
      </c>
      <c r="D43">
        <v>1.55</v>
      </c>
      <c r="E43">
        <v>48</v>
      </c>
      <c r="F43">
        <v>13.57</v>
      </c>
      <c r="G43">
        <v>95</v>
      </c>
      <c r="H43" s="1">
        <v>45003.618055555555</v>
      </c>
      <c r="I43" s="1">
        <v>45003.651388888888</v>
      </c>
      <c r="J43" s="1">
        <v>45003.615972222222</v>
      </c>
      <c r="K43" s="1">
        <v>45003.649305555555</v>
      </c>
      <c r="L43" t="s">
        <v>16</v>
      </c>
      <c r="M43" t="s">
        <v>20</v>
      </c>
    </row>
    <row r="44" spans="1:13" x14ac:dyDescent="0.3">
      <c r="A44" t="s">
        <v>72</v>
      </c>
      <c r="B44" t="s">
        <v>40</v>
      </c>
      <c r="C44" t="s">
        <v>23</v>
      </c>
      <c r="D44">
        <v>4.84</v>
      </c>
      <c r="E44">
        <v>75</v>
      </c>
      <c r="F44">
        <v>4.53</v>
      </c>
      <c r="G44">
        <v>87</v>
      </c>
      <c r="H44" s="1">
        <v>45003.625</v>
      </c>
      <c r="I44" s="1">
        <v>45003.677083333336</v>
      </c>
      <c r="J44" s="1">
        <v>45003.625694444447</v>
      </c>
      <c r="K44" s="1">
        <v>45003.677777777775</v>
      </c>
      <c r="L44" t="s">
        <v>16</v>
      </c>
      <c r="M44" t="s">
        <v>28</v>
      </c>
    </row>
    <row r="45" spans="1:13" x14ac:dyDescent="0.3">
      <c r="A45" t="s">
        <v>73</v>
      </c>
      <c r="B45" t="s">
        <v>30</v>
      </c>
      <c r="C45" t="s">
        <v>27</v>
      </c>
      <c r="D45">
        <v>1.82</v>
      </c>
      <c r="E45">
        <v>109</v>
      </c>
      <c r="F45">
        <v>5.67</v>
      </c>
      <c r="G45">
        <v>93</v>
      </c>
      <c r="H45" s="1">
        <v>45003.631944444445</v>
      </c>
      <c r="I45" s="1">
        <v>45003.707638888889</v>
      </c>
      <c r="J45" s="1">
        <v>45003.628472222219</v>
      </c>
      <c r="K45" s="1">
        <v>45003.70416666667</v>
      </c>
      <c r="L45" t="s">
        <v>16</v>
      </c>
      <c r="M45" t="s">
        <v>20</v>
      </c>
    </row>
    <row r="46" spans="1:13" x14ac:dyDescent="0.3">
      <c r="A46" t="s">
        <v>74</v>
      </c>
      <c r="B46" t="s">
        <v>30</v>
      </c>
      <c r="C46" t="s">
        <v>32</v>
      </c>
      <c r="D46">
        <v>3.52</v>
      </c>
      <c r="E46">
        <v>78</v>
      </c>
      <c r="F46">
        <v>3.03</v>
      </c>
      <c r="G46">
        <v>91</v>
      </c>
      <c r="H46" s="1">
        <v>45003.638888888891</v>
      </c>
      <c r="I46" s="1">
        <v>45003.693055555559</v>
      </c>
      <c r="J46" s="1">
        <v>45003.642361111109</v>
      </c>
      <c r="K46" s="1">
        <v>45003.696527777778</v>
      </c>
      <c r="L46" t="s">
        <v>16</v>
      </c>
      <c r="M46" t="s">
        <v>28</v>
      </c>
    </row>
    <row r="47" spans="1:13" x14ac:dyDescent="0.3">
      <c r="A47" t="s">
        <v>75</v>
      </c>
      <c r="B47" t="s">
        <v>40</v>
      </c>
      <c r="C47" t="s">
        <v>32</v>
      </c>
      <c r="D47">
        <v>4.5199999999999996</v>
      </c>
      <c r="E47">
        <v>30</v>
      </c>
      <c r="F47">
        <v>7.15</v>
      </c>
      <c r="G47">
        <v>85</v>
      </c>
      <c r="H47" s="1">
        <v>45003.645833333336</v>
      </c>
      <c r="I47" s="1">
        <v>45003.666666666664</v>
      </c>
      <c r="J47" s="1">
        <v>45003.662499999999</v>
      </c>
      <c r="K47" s="1">
        <v>45003.683333333334</v>
      </c>
      <c r="L47" t="s">
        <v>19</v>
      </c>
      <c r="M47" t="s">
        <v>20</v>
      </c>
    </row>
    <row r="48" spans="1:13" x14ac:dyDescent="0.3">
      <c r="A48" t="s">
        <v>76</v>
      </c>
      <c r="B48" t="s">
        <v>30</v>
      </c>
      <c r="C48" t="s">
        <v>36</v>
      </c>
      <c r="D48">
        <v>1.9</v>
      </c>
      <c r="E48">
        <v>25</v>
      </c>
      <c r="F48">
        <v>10.09</v>
      </c>
      <c r="G48">
        <v>85</v>
      </c>
      <c r="H48" s="1">
        <v>45003.652777777781</v>
      </c>
      <c r="I48" s="1">
        <v>45003.670138888891</v>
      </c>
      <c r="J48" s="1">
        <v>45003.655555555553</v>
      </c>
      <c r="K48" s="1">
        <v>45003.67291666667</v>
      </c>
      <c r="L48" t="s">
        <v>16</v>
      </c>
      <c r="M48" t="s">
        <v>17</v>
      </c>
    </row>
    <row r="49" spans="1:13" x14ac:dyDescent="0.3">
      <c r="A49" t="s">
        <v>77</v>
      </c>
      <c r="B49" t="s">
        <v>30</v>
      </c>
      <c r="C49" t="s">
        <v>27</v>
      </c>
      <c r="D49">
        <v>3.67</v>
      </c>
      <c r="E49">
        <v>75</v>
      </c>
      <c r="F49">
        <v>4.12</v>
      </c>
      <c r="G49">
        <v>99</v>
      </c>
      <c r="H49" s="1">
        <v>45003.659722222219</v>
      </c>
      <c r="I49" s="1">
        <v>45003.711805555555</v>
      </c>
      <c r="J49" s="1">
        <v>45003.657638888886</v>
      </c>
      <c r="K49" s="1">
        <v>45003.709722222222</v>
      </c>
      <c r="L49" t="s">
        <v>16</v>
      </c>
      <c r="M49" t="s">
        <v>20</v>
      </c>
    </row>
    <row r="50" spans="1:13" x14ac:dyDescent="0.3">
      <c r="A50" t="s">
        <v>78</v>
      </c>
      <c r="B50" t="s">
        <v>30</v>
      </c>
      <c r="C50" t="s">
        <v>27</v>
      </c>
      <c r="D50">
        <v>4.43</v>
      </c>
      <c r="E50">
        <v>33</v>
      </c>
      <c r="F50">
        <v>7.55</v>
      </c>
      <c r="G50">
        <v>80</v>
      </c>
      <c r="H50" s="1">
        <v>45003.666666666664</v>
      </c>
      <c r="I50" s="1">
        <v>45003.689583333333</v>
      </c>
      <c r="J50" s="1">
        <v>45003.669444444444</v>
      </c>
      <c r="K50" s="1">
        <v>45003.692361111112</v>
      </c>
      <c r="L50" t="s">
        <v>16</v>
      </c>
      <c r="M50" t="s">
        <v>17</v>
      </c>
    </row>
    <row r="51" spans="1:13" x14ac:dyDescent="0.3">
      <c r="A51" t="s">
        <v>79</v>
      </c>
      <c r="B51" t="s">
        <v>14</v>
      </c>
      <c r="C51" t="s">
        <v>27</v>
      </c>
      <c r="D51">
        <v>1.42</v>
      </c>
      <c r="E51">
        <v>104</v>
      </c>
      <c r="F51">
        <v>3.09</v>
      </c>
      <c r="G51">
        <v>87</v>
      </c>
      <c r="H51" s="1">
        <v>45003.673611111109</v>
      </c>
      <c r="I51" s="1">
        <v>45003.745833333334</v>
      </c>
      <c r="J51" s="1">
        <v>45003.686805555553</v>
      </c>
      <c r="K51" s="1">
        <v>45003.759027777778</v>
      </c>
      <c r="L51" t="s">
        <v>19</v>
      </c>
      <c r="M51" t="s">
        <v>20</v>
      </c>
    </row>
    <row r="52" spans="1:13" x14ac:dyDescent="0.3">
      <c r="A52" t="s">
        <v>80</v>
      </c>
      <c r="B52" t="s">
        <v>22</v>
      </c>
      <c r="C52" t="s">
        <v>27</v>
      </c>
      <c r="D52">
        <v>4.25</v>
      </c>
      <c r="E52">
        <v>24</v>
      </c>
      <c r="F52">
        <v>7.26</v>
      </c>
      <c r="G52">
        <v>90</v>
      </c>
      <c r="H52" s="1">
        <v>45003.680555555555</v>
      </c>
      <c r="I52" s="1">
        <v>45003.697222222225</v>
      </c>
      <c r="L52" t="s">
        <v>24</v>
      </c>
      <c r="M52" t="s">
        <v>20</v>
      </c>
    </row>
    <row r="53" spans="1:13" x14ac:dyDescent="0.3">
      <c r="A53" t="s">
        <v>81</v>
      </c>
      <c r="B53" t="s">
        <v>34</v>
      </c>
      <c r="C53" t="s">
        <v>15</v>
      </c>
      <c r="D53">
        <v>3.91</v>
      </c>
      <c r="E53">
        <v>23</v>
      </c>
      <c r="F53">
        <v>9.1999999999999993</v>
      </c>
      <c r="G53">
        <v>82</v>
      </c>
      <c r="H53" s="1">
        <v>45003.6875</v>
      </c>
      <c r="I53" s="1">
        <v>45003.703472222223</v>
      </c>
      <c r="J53" s="1">
        <v>45003.685416666667</v>
      </c>
      <c r="K53" s="1">
        <v>45003.701388888891</v>
      </c>
      <c r="L53" t="s">
        <v>16</v>
      </c>
      <c r="M53" t="s">
        <v>20</v>
      </c>
    </row>
    <row r="54" spans="1:13" x14ac:dyDescent="0.3">
      <c r="A54" t="s">
        <v>82</v>
      </c>
      <c r="B54" t="s">
        <v>30</v>
      </c>
      <c r="C54" t="s">
        <v>27</v>
      </c>
      <c r="D54">
        <v>1.85</v>
      </c>
      <c r="E54">
        <v>97</v>
      </c>
      <c r="F54">
        <v>4.7699999999999996</v>
      </c>
      <c r="G54">
        <v>98</v>
      </c>
      <c r="H54" s="1">
        <v>45003.694444444445</v>
      </c>
      <c r="I54" s="1">
        <v>45003.761805555558</v>
      </c>
      <c r="J54" s="1">
        <v>45003.692361111112</v>
      </c>
      <c r="K54" s="1">
        <v>45003.759722222225</v>
      </c>
      <c r="L54" t="s">
        <v>16</v>
      </c>
      <c r="M54" t="s">
        <v>20</v>
      </c>
    </row>
    <row r="55" spans="1:13" x14ac:dyDescent="0.3">
      <c r="A55" t="s">
        <v>83</v>
      </c>
      <c r="B55" t="s">
        <v>34</v>
      </c>
      <c r="C55" t="s">
        <v>36</v>
      </c>
      <c r="D55">
        <v>2.79</v>
      </c>
      <c r="E55">
        <v>64</v>
      </c>
      <c r="F55">
        <v>6.66</v>
      </c>
      <c r="G55">
        <v>82</v>
      </c>
      <c r="H55" s="1">
        <v>45003.701388888891</v>
      </c>
      <c r="I55" s="1">
        <v>45003.745833333334</v>
      </c>
      <c r="J55" s="1">
        <v>45003.715277777781</v>
      </c>
      <c r="K55" s="1">
        <v>45003.759722222225</v>
      </c>
      <c r="L55" t="s">
        <v>19</v>
      </c>
      <c r="M55" t="s">
        <v>20</v>
      </c>
    </row>
    <row r="56" spans="1:13" x14ac:dyDescent="0.3">
      <c r="A56" t="s">
        <v>84</v>
      </c>
      <c r="B56" t="s">
        <v>34</v>
      </c>
      <c r="C56" t="s">
        <v>36</v>
      </c>
      <c r="D56">
        <v>4.6100000000000003</v>
      </c>
      <c r="E56">
        <v>116</v>
      </c>
      <c r="F56">
        <v>13.1</v>
      </c>
      <c r="G56">
        <v>99</v>
      </c>
      <c r="H56" s="1">
        <v>45003.708333333336</v>
      </c>
      <c r="I56" s="1">
        <v>45003.788888888892</v>
      </c>
      <c r="J56" s="1">
        <v>45003.704861111109</v>
      </c>
      <c r="K56" s="1">
        <v>45003.785416666666</v>
      </c>
      <c r="L56" t="s">
        <v>16</v>
      </c>
      <c r="M56" t="s">
        <v>20</v>
      </c>
    </row>
    <row r="57" spans="1:13" x14ac:dyDescent="0.3">
      <c r="A57" t="s">
        <v>85</v>
      </c>
      <c r="B57" t="s">
        <v>14</v>
      </c>
      <c r="C57" t="s">
        <v>36</v>
      </c>
      <c r="D57">
        <v>4.2</v>
      </c>
      <c r="E57">
        <v>104</v>
      </c>
      <c r="F57">
        <v>11.91</v>
      </c>
      <c r="G57">
        <v>80</v>
      </c>
      <c r="H57" s="1">
        <v>45003.715277777781</v>
      </c>
      <c r="I57" s="1">
        <v>45003.787499999999</v>
      </c>
      <c r="J57" s="1">
        <v>45003.713194444441</v>
      </c>
      <c r="K57" s="1">
        <v>45003.785416666666</v>
      </c>
      <c r="L57" t="s">
        <v>16</v>
      </c>
      <c r="M57" t="s">
        <v>20</v>
      </c>
    </row>
    <row r="58" spans="1:13" x14ac:dyDescent="0.3">
      <c r="A58" t="s">
        <v>86</v>
      </c>
      <c r="B58" t="s">
        <v>30</v>
      </c>
      <c r="C58" t="s">
        <v>23</v>
      </c>
      <c r="D58">
        <v>1.04</v>
      </c>
      <c r="E58">
        <v>31</v>
      </c>
      <c r="F58">
        <v>6.53</v>
      </c>
      <c r="G58">
        <v>86</v>
      </c>
      <c r="H58" s="1">
        <v>45003.722222222219</v>
      </c>
      <c r="I58" s="1">
        <v>45003.743750000001</v>
      </c>
      <c r="J58" s="1">
        <v>45003.72152777778</v>
      </c>
      <c r="K58" s="1">
        <v>45003.743055555555</v>
      </c>
      <c r="L58" t="s">
        <v>16</v>
      </c>
      <c r="M58" t="s">
        <v>20</v>
      </c>
    </row>
    <row r="59" spans="1:13" x14ac:dyDescent="0.3">
      <c r="A59" t="s">
        <v>87</v>
      </c>
      <c r="B59" t="s">
        <v>14</v>
      </c>
      <c r="C59" t="s">
        <v>15</v>
      </c>
      <c r="D59">
        <v>1.03</v>
      </c>
      <c r="E59">
        <v>83</v>
      </c>
      <c r="F59">
        <v>8.42</v>
      </c>
      <c r="G59">
        <v>81</v>
      </c>
      <c r="H59" s="1">
        <v>45003.729166666664</v>
      </c>
      <c r="I59" s="1">
        <v>45003.786805555559</v>
      </c>
      <c r="J59" s="1">
        <v>45003.729861111111</v>
      </c>
      <c r="K59" s="1">
        <v>45003.787499999999</v>
      </c>
      <c r="L59" t="s">
        <v>16</v>
      </c>
      <c r="M59" t="s">
        <v>28</v>
      </c>
    </row>
    <row r="60" spans="1:13" x14ac:dyDescent="0.3">
      <c r="A60" t="s">
        <v>88</v>
      </c>
      <c r="B60" t="s">
        <v>34</v>
      </c>
      <c r="C60" t="s">
        <v>23</v>
      </c>
      <c r="D60">
        <v>3.62</v>
      </c>
      <c r="E60">
        <v>62</v>
      </c>
      <c r="F60">
        <v>6.06</v>
      </c>
      <c r="G60">
        <v>88</v>
      </c>
      <c r="H60" s="1">
        <v>45003.736111111109</v>
      </c>
      <c r="I60" s="1">
        <v>45003.779166666667</v>
      </c>
      <c r="J60" s="1">
        <v>45003.743750000001</v>
      </c>
      <c r="K60" s="1">
        <v>45003.786805555559</v>
      </c>
      <c r="L60" t="s">
        <v>19</v>
      </c>
      <c r="M60" t="s">
        <v>20</v>
      </c>
    </row>
    <row r="61" spans="1:13" x14ac:dyDescent="0.3">
      <c r="A61" t="s">
        <v>89</v>
      </c>
      <c r="B61" t="s">
        <v>14</v>
      </c>
      <c r="C61" t="s">
        <v>32</v>
      </c>
      <c r="D61">
        <v>3.29</v>
      </c>
      <c r="E61">
        <v>66</v>
      </c>
      <c r="F61">
        <v>8.69</v>
      </c>
      <c r="G61">
        <v>80</v>
      </c>
      <c r="H61" s="1">
        <v>45003.743055555555</v>
      </c>
      <c r="I61" s="1">
        <v>45003.788888888892</v>
      </c>
      <c r="J61" s="1">
        <v>45003.744444444441</v>
      </c>
      <c r="K61" s="1">
        <v>45003.790277777778</v>
      </c>
      <c r="L61" t="s">
        <v>16</v>
      </c>
      <c r="M61" t="s">
        <v>17</v>
      </c>
    </row>
    <row r="62" spans="1:13" x14ac:dyDescent="0.3">
      <c r="A62" t="s">
        <v>90</v>
      </c>
      <c r="B62" t="s">
        <v>30</v>
      </c>
      <c r="C62" t="s">
        <v>27</v>
      </c>
      <c r="D62">
        <v>3.03</v>
      </c>
      <c r="E62">
        <v>110</v>
      </c>
      <c r="F62">
        <v>6.98</v>
      </c>
      <c r="G62">
        <v>82</v>
      </c>
      <c r="H62" s="1">
        <v>45003.75</v>
      </c>
      <c r="I62" s="1">
        <v>45003.826388888891</v>
      </c>
      <c r="L62" t="s">
        <v>24</v>
      </c>
      <c r="M62" t="s">
        <v>20</v>
      </c>
    </row>
    <row r="63" spans="1:13" x14ac:dyDescent="0.3">
      <c r="A63" t="s">
        <v>91</v>
      </c>
      <c r="B63" t="s">
        <v>30</v>
      </c>
      <c r="C63" t="s">
        <v>27</v>
      </c>
      <c r="D63">
        <v>2.4700000000000002</v>
      </c>
      <c r="E63">
        <v>98</v>
      </c>
      <c r="F63">
        <v>9.93</v>
      </c>
      <c r="G63">
        <v>82</v>
      </c>
      <c r="H63" s="1">
        <v>45003.756944444445</v>
      </c>
      <c r="I63" s="1">
        <v>45003.824999999997</v>
      </c>
      <c r="J63" s="1">
        <v>45003.777083333334</v>
      </c>
      <c r="K63" s="1">
        <v>45003.845138888886</v>
      </c>
      <c r="L63" t="s">
        <v>19</v>
      </c>
      <c r="M63" t="s">
        <v>20</v>
      </c>
    </row>
    <row r="64" spans="1:13" x14ac:dyDescent="0.3">
      <c r="A64" t="s">
        <v>92</v>
      </c>
      <c r="B64" t="s">
        <v>30</v>
      </c>
      <c r="C64" t="s">
        <v>27</v>
      </c>
      <c r="D64">
        <v>3.2</v>
      </c>
      <c r="E64">
        <v>47</v>
      </c>
      <c r="F64">
        <v>8.4</v>
      </c>
      <c r="G64">
        <v>86</v>
      </c>
      <c r="H64" s="1">
        <v>45003.763888888891</v>
      </c>
      <c r="I64" s="1">
        <v>45003.796527777777</v>
      </c>
      <c r="L64" t="s">
        <v>24</v>
      </c>
      <c r="M64" t="s">
        <v>20</v>
      </c>
    </row>
    <row r="65" spans="1:13" x14ac:dyDescent="0.3">
      <c r="A65" t="s">
        <v>93</v>
      </c>
      <c r="B65" t="s">
        <v>30</v>
      </c>
      <c r="C65" t="s">
        <v>27</v>
      </c>
      <c r="D65">
        <v>4.8099999999999996</v>
      </c>
      <c r="E65">
        <v>71</v>
      </c>
      <c r="F65">
        <v>7.42</v>
      </c>
      <c r="G65">
        <v>83</v>
      </c>
      <c r="H65" s="1">
        <v>45003.770833333336</v>
      </c>
      <c r="I65" s="1">
        <v>45003.820138888892</v>
      </c>
      <c r="J65" s="1">
        <v>45003.770833333336</v>
      </c>
      <c r="K65" s="1">
        <v>45003.820138888892</v>
      </c>
      <c r="L65" t="s">
        <v>16</v>
      </c>
      <c r="M65" t="s">
        <v>28</v>
      </c>
    </row>
    <row r="66" spans="1:13" x14ac:dyDescent="0.3">
      <c r="A66" t="s">
        <v>94</v>
      </c>
      <c r="B66" t="s">
        <v>40</v>
      </c>
      <c r="C66" t="s">
        <v>15</v>
      </c>
      <c r="D66">
        <v>2.71</v>
      </c>
      <c r="E66">
        <v>23</v>
      </c>
      <c r="F66">
        <v>6.8</v>
      </c>
      <c r="G66">
        <v>90</v>
      </c>
      <c r="H66" s="1">
        <v>45003.777777777781</v>
      </c>
      <c r="I66" s="1">
        <v>45003.793749999997</v>
      </c>
      <c r="L66" t="s">
        <v>24</v>
      </c>
      <c r="M66" t="s">
        <v>20</v>
      </c>
    </row>
    <row r="67" spans="1:13" x14ac:dyDescent="0.3">
      <c r="A67" t="s">
        <v>95</v>
      </c>
      <c r="B67" t="s">
        <v>40</v>
      </c>
      <c r="C67" t="s">
        <v>36</v>
      </c>
      <c r="D67">
        <v>3.47</v>
      </c>
      <c r="E67">
        <v>52</v>
      </c>
      <c r="F67">
        <v>2.09</v>
      </c>
      <c r="G67">
        <v>97</v>
      </c>
      <c r="H67" s="1">
        <v>45003.784722222219</v>
      </c>
      <c r="I67" s="1">
        <v>45003.820833333331</v>
      </c>
      <c r="J67" s="1">
        <v>45003.793749999997</v>
      </c>
      <c r="K67" s="1">
        <v>45003.829861111109</v>
      </c>
      <c r="L67" t="s">
        <v>19</v>
      </c>
      <c r="M67" t="s">
        <v>20</v>
      </c>
    </row>
    <row r="68" spans="1:13" x14ac:dyDescent="0.3">
      <c r="A68" t="s">
        <v>96</v>
      </c>
      <c r="B68" t="s">
        <v>30</v>
      </c>
      <c r="C68" t="s">
        <v>27</v>
      </c>
      <c r="D68">
        <v>3.28</v>
      </c>
      <c r="E68">
        <v>23</v>
      </c>
      <c r="F68">
        <v>3.79</v>
      </c>
      <c r="G68">
        <v>84</v>
      </c>
      <c r="H68" s="1">
        <v>45003.791666666664</v>
      </c>
      <c r="I68" s="1">
        <v>45003.807638888888</v>
      </c>
      <c r="J68" s="1">
        <v>45003.8</v>
      </c>
      <c r="K68" s="1">
        <v>45003.815972222219</v>
      </c>
      <c r="L68" t="s">
        <v>19</v>
      </c>
      <c r="M68" t="s">
        <v>20</v>
      </c>
    </row>
    <row r="69" spans="1:13" x14ac:dyDescent="0.3">
      <c r="A69" t="s">
        <v>97</v>
      </c>
      <c r="B69" t="s">
        <v>30</v>
      </c>
      <c r="C69" t="s">
        <v>27</v>
      </c>
      <c r="D69">
        <v>3.48</v>
      </c>
      <c r="E69">
        <v>116</v>
      </c>
      <c r="F69">
        <v>9.64</v>
      </c>
      <c r="G69">
        <v>82</v>
      </c>
      <c r="H69" s="1">
        <v>45003.798611111109</v>
      </c>
      <c r="I69" s="1">
        <v>45003.879166666666</v>
      </c>
      <c r="J69" s="1">
        <v>45003.79791666667</v>
      </c>
      <c r="K69" s="1">
        <v>45003.878472222219</v>
      </c>
      <c r="L69" t="s">
        <v>16</v>
      </c>
      <c r="M69" t="s">
        <v>20</v>
      </c>
    </row>
    <row r="70" spans="1:13" x14ac:dyDescent="0.3">
      <c r="A70" t="s">
        <v>98</v>
      </c>
      <c r="B70" t="s">
        <v>22</v>
      </c>
      <c r="C70" t="s">
        <v>23</v>
      </c>
      <c r="D70">
        <v>2.61</v>
      </c>
      <c r="E70">
        <v>29</v>
      </c>
      <c r="F70">
        <v>9.58</v>
      </c>
      <c r="G70">
        <v>80</v>
      </c>
      <c r="H70" s="1">
        <v>45003.805555555555</v>
      </c>
      <c r="I70" s="1">
        <v>45003.825694444444</v>
      </c>
      <c r="J70" s="1">
        <v>45003.806250000001</v>
      </c>
      <c r="K70" s="1">
        <v>45003.826388888891</v>
      </c>
      <c r="L70" t="s">
        <v>16</v>
      </c>
      <c r="M70" t="s">
        <v>17</v>
      </c>
    </row>
    <row r="71" spans="1:13" x14ac:dyDescent="0.3">
      <c r="A71" t="s">
        <v>99</v>
      </c>
      <c r="B71" t="s">
        <v>22</v>
      </c>
      <c r="C71" t="s">
        <v>36</v>
      </c>
      <c r="D71">
        <v>3.37</v>
      </c>
      <c r="E71">
        <v>54</v>
      </c>
      <c r="F71">
        <v>2.46</v>
      </c>
      <c r="G71">
        <v>82</v>
      </c>
      <c r="H71" s="1">
        <v>45003.8125</v>
      </c>
      <c r="I71" s="1">
        <v>45003.85</v>
      </c>
      <c r="L71" t="s">
        <v>24</v>
      </c>
      <c r="M71" t="s">
        <v>20</v>
      </c>
    </row>
    <row r="72" spans="1:13" x14ac:dyDescent="0.3">
      <c r="A72" t="s">
        <v>100</v>
      </c>
      <c r="B72" t="s">
        <v>22</v>
      </c>
      <c r="C72" t="s">
        <v>32</v>
      </c>
      <c r="D72">
        <v>2.62</v>
      </c>
      <c r="E72">
        <v>25</v>
      </c>
      <c r="F72">
        <v>7.29</v>
      </c>
      <c r="G72">
        <v>95</v>
      </c>
      <c r="H72" s="1">
        <v>45003.819444444445</v>
      </c>
      <c r="I72" s="1">
        <v>45003.836805555555</v>
      </c>
      <c r="J72" s="1">
        <v>45003.818055555559</v>
      </c>
      <c r="K72" s="1">
        <v>45003.835416666669</v>
      </c>
      <c r="L72" t="s">
        <v>16</v>
      </c>
      <c r="M72" t="s">
        <v>20</v>
      </c>
    </row>
    <row r="73" spans="1:13" x14ac:dyDescent="0.3">
      <c r="A73" t="s">
        <v>101</v>
      </c>
      <c r="B73" t="s">
        <v>34</v>
      </c>
      <c r="C73" t="s">
        <v>15</v>
      </c>
      <c r="D73">
        <v>3.52</v>
      </c>
      <c r="E73">
        <v>68</v>
      </c>
      <c r="F73">
        <v>6.05</v>
      </c>
      <c r="G73">
        <v>99</v>
      </c>
      <c r="H73" s="1">
        <v>45003.826388888891</v>
      </c>
      <c r="I73" s="1">
        <v>45003.873611111114</v>
      </c>
      <c r="J73" s="1">
        <v>45003.82708333333</v>
      </c>
      <c r="K73" s="1">
        <v>45003.874305555553</v>
      </c>
      <c r="L73" t="s">
        <v>16</v>
      </c>
      <c r="M73" t="s">
        <v>28</v>
      </c>
    </row>
    <row r="74" spans="1:13" x14ac:dyDescent="0.3">
      <c r="A74" t="s">
        <v>102</v>
      </c>
      <c r="B74" t="s">
        <v>22</v>
      </c>
      <c r="C74" t="s">
        <v>36</v>
      </c>
      <c r="D74">
        <v>4.17</v>
      </c>
      <c r="E74">
        <v>112</v>
      </c>
      <c r="F74">
        <v>11.57</v>
      </c>
      <c r="G74">
        <v>89</v>
      </c>
      <c r="H74" s="1">
        <v>45003.833333333336</v>
      </c>
      <c r="I74" s="1">
        <v>45003.911111111112</v>
      </c>
      <c r="J74" s="1">
        <v>45003.834722222222</v>
      </c>
      <c r="K74" s="1">
        <v>45003.912499999999</v>
      </c>
      <c r="L74" t="s">
        <v>16</v>
      </c>
      <c r="M74" t="s">
        <v>17</v>
      </c>
    </row>
    <row r="75" spans="1:13" x14ac:dyDescent="0.3">
      <c r="A75" t="s">
        <v>103</v>
      </c>
      <c r="B75" t="s">
        <v>22</v>
      </c>
      <c r="C75" t="s">
        <v>32</v>
      </c>
      <c r="D75">
        <v>3.72</v>
      </c>
      <c r="E75">
        <v>65</v>
      </c>
      <c r="F75">
        <v>12.97</v>
      </c>
      <c r="G75">
        <v>86</v>
      </c>
      <c r="H75" s="1">
        <v>45003.840277777781</v>
      </c>
      <c r="I75" s="1">
        <v>45003.885416666664</v>
      </c>
      <c r="J75" s="1">
        <v>45003.842361111114</v>
      </c>
      <c r="K75" s="1">
        <v>45003.887499999997</v>
      </c>
      <c r="L75" t="s">
        <v>16</v>
      </c>
      <c r="M75" t="s">
        <v>17</v>
      </c>
    </row>
    <row r="76" spans="1:13" x14ac:dyDescent="0.3">
      <c r="A76" t="s">
        <v>104</v>
      </c>
      <c r="B76" t="s">
        <v>34</v>
      </c>
      <c r="C76" t="s">
        <v>23</v>
      </c>
      <c r="D76">
        <v>3.55</v>
      </c>
      <c r="E76">
        <v>85</v>
      </c>
      <c r="F76">
        <v>7.52</v>
      </c>
      <c r="G76">
        <v>84</v>
      </c>
      <c r="H76" s="1">
        <v>45003.847222222219</v>
      </c>
      <c r="I76" s="1">
        <v>45003.90625</v>
      </c>
      <c r="J76" s="1">
        <v>45003.848611111112</v>
      </c>
      <c r="K76" s="1">
        <v>45003.907638888886</v>
      </c>
      <c r="L76" t="s">
        <v>16</v>
      </c>
      <c r="M76" t="s">
        <v>28</v>
      </c>
    </row>
    <row r="77" spans="1:13" x14ac:dyDescent="0.3">
      <c r="A77" t="s">
        <v>105</v>
      </c>
      <c r="B77" t="s">
        <v>14</v>
      </c>
      <c r="C77" t="s">
        <v>32</v>
      </c>
      <c r="D77">
        <v>1.99</v>
      </c>
      <c r="E77">
        <v>99</v>
      </c>
      <c r="F77">
        <v>10.01</v>
      </c>
      <c r="G77">
        <v>90</v>
      </c>
      <c r="H77" s="1">
        <v>45003.854166666664</v>
      </c>
      <c r="I77" s="1">
        <v>45003.92291666667</v>
      </c>
      <c r="L77" t="s">
        <v>24</v>
      </c>
      <c r="M77" t="s">
        <v>20</v>
      </c>
    </row>
    <row r="78" spans="1:13" x14ac:dyDescent="0.3">
      <c r="A78" t="s">
        <v>106</v>
      </c>
      <c r="B78" t="s">
        <v>14</v>
      </c>
      <c r="C78" t="s">
        <v>32</v>
      </c>
      <c r="D78">
        <v>3.46</v>
      </c>
      <c r="E78">
        <v>62</v>
      </c>
      <c r="F78">
        <v>7.46</v>
      </c>
      <c r="G78">
        <v>84</v>
      </c>
      <c r="H78" s="1">
        <v>45003.861111111109</v>
      </c>
      <c r="I78" s="1">
        <v>45003.904166666667</v>
      </c>
      <c r="J78" s="1">
        <v>45003.861111111109</v>
      </c>
      <c r="K78" s="1">
        <v>45003.904166666667</v>
      </c>
      <c r="L78" t="s">
        <v>16</v>
      </c>
      <c r="M78" t="s">
        <v>28</v>
      </c>
    </row>
    <row r="79" spans="1:13" x14ac:dyDescent="0.3">
      <c r="A79" t="s">
        <v>107</v>
      </c>
      <c r="B79" t="s">
        <v>30</v>
      </c>
      <c r="C79" t="s">
        <v>32</v>
      </c>
      <c r="D79">
        <v>2.08</v>
      </c>
      <c r="E79">
        <v>107</v>
      </c>
      <c r="F79">
        <v>2.2000000000000002</v>
      </c>
      <c r="G79">
        <v>89</v>
      </c>
      <c r="H79" s="1">
        <v>45003.868055555555</v>
      </c>
      <c r="I79" s="1">
        <v>45003.942361111112</v>
      </c>
      <c r="J79" s="1">
        <v>45003.876388888886</v>
      </c>
      <c r="K79" s="1">
        <v>45003.950694444444</v>
      </c>
      <c r="L79" t="s">
        <v>19</v>
      </c>
      <c r="M79" t="s">
        <v>20</v>
      </c>
    </row>
    <row r="80" spans="1:13" x14ac:dyDescent="0.3">
      <c r="A80" t="s">
        <v>108</v>
      </c>
      <c r="B80" t="s">
        <v>34</v>
      </c>
      <c r="C80" t="s">
        <v>32</v>
      </c>
      <c r="D80">
        <v>4.55</v>
      </c>
      <c r="E80">
        <v>84</v>
      </c>
      <c r="F80">
        <v>7.43</v>
      </c>
      <c r="G80">
        <v>97</v>
      </c>
      <c r="H80" s="1">
        <v>45003.875</v>
      </c>
      <c r="I80" s="1">
        <v>45003.933333333334</v>
      </c>
      <c r="J80" s="1">
        <v>45003.88958333333</v>
      </c>
      <c r="K80" s="1">
        <v>45003.947916666664</v>
      </c>
      <c r="L80" t="s">
        <v>19</v>
      </c>
      <c r="M80" t="s">
        <v>20</v>
      </c>
    </row>
    <row r="81" spans="1:13" x14ac:dyDescent="0.3">
      <c r="A81" t="s">
        <v>109</v>
      </c>
      <c r="B81" t="s">
        <v>22</v>
      </c>
      <c r="C81" t="s">
        <v>15</v>
      </c>
      <c r="D81">
        <v>2.11</v>
      </c>
      <c r="E81">
        <v>82</v>
      </c>
      <c r="F81">
        <v>14.62</v>
      </c>
      <c r="G81">
        <v>89</v>
      </c>
      <c r="H81" s="1">
        <v>45003.881944444445</v>
      </c>
      <c r="I81" s="1">
        <v>45003.938888888886</v>
      </c>
      <c r="J81" s="1">
        <v>45003.880555555559</v>
      </c>
      <c r="K81" s="1">
        <v>45003.9375</v>
      </c>
      <c r="L81" t="s">
        <v>16</v>
      </c>
      <c r="M81" t="s">
        <v>20</v>
      </c>
    </row>
    <row r="82" spans="1:13" x14ac:dyDescent="0.3">
      <c r="A82" t="s">
        <v>110</v>
      </c>
      <c r="B82" t="s">
        <v>30</v>
      </c>
      <c r="C82" t="s">
        <v>23</v>
      </c>
      <c r="D82">
        <v>4.01</v>
      </c>
      <c r="E82">
        <v>69</v>
      </c>
      <c r="F82">
        <v>11.72</v>
      </c>
      <c r="G82">
        <v>88</v>
      </c>
      <c r="H82" s="1">
        <v>45003.888888888891</v>
      </c>
      <c r="I82" s="1">
        <v>45003.936805555553</v>
      </c>
      <c r="J82" s="1">
        <v>45003.886805555558</v>
      </c>
      <c r="K82" s="1">
        <v>45003.93472222222</v>
      </c>
      <c r="L82" t="s">
        <v>16</v>
      </c>
      <c r="M82" t="s">
        <v>20</v>
      </c>
    </row>
    <row r="83" spans="1:13" x14ac:dyDescent="0.3">
      <c r="A83" t="s">
        <v>111</v>
      </c>
      <c r="B83" t="s">
        <v>14</v>
      </c>
      <c r="C83" t="s">
        <v>36</v>
      </c>
      <c r="D83">
        <v>1.73</v>
      </c>
      <c r="E83">
        <v>24</v>
      </c>
      <c r="F83">
        <v>13.39</v>
      </c>
      <c r="G83">
        <v>98</v>
      </c>
      <c r="H83" s="1">
        <v>45003.895833333336</v>
      </c>
      <c r="I83" s="1">
        <v>45003.912499999999</v>
      </c>
      <c r="J83" s="1">
        <v>45003.893055555556</v>
      </c>
      <c r="K83" s="1">
        <v>45003.909722222219</v>
      </c>
      <c r="L83" t="s">
        <v>16</v>
      </c>
      <c r="M83" t="s">
        <v>20</v>
      </c>
    </row>
    <row r="84" spans="1:13" x14ac:dyDescent="0.3">
      <c r="A84" t="s">
        <v>112</v>
      </c>
      <c r="B84" t="s">
        <v>40</v>
      </c>
      <c r="C84" t="s">
        <v>36</v>
      </c>
      <c r="D84">
        <v>4.1500000000000004</v>
      </c>
      <c r="E84">
        <v>59</v>
      </c>
      <c r="F84">
        <v>12.15</v>
      </c>
      <c r="G84">
        <v>85</v>
      </c>
      <c r="H84" s="1">
        <v>45003.902777777781</v>
      </c>
      <c r="I84" s="1">
        <v>45003.943749999999</v>
      </c>
      <c r="J84" s="1">
        <v>45003.90347222222</v>
      </c>
      <c r="K84" s="1">
        <v>45003.944444444445</v>
      </c>
      <c r="L84" t="s">
        <v>16</v>
      </c>
      <c r="M84" t="s">
        <v>17</v>
      </c>
    </row>
    <row r="85" spans="1:13" x14ac:dyDescent="0.3">
      <c r="A85" t="s">
        <v>113</v>
      </c>
      <c r="B85" t="s">
        <v>34</v>
      </c>
      <c r="C85" t="s">
        <v>36</v>
      </c>
      <c r="D85">
        <v>1.19</v>
      </c>
      <c r="E85">
        <v>77</v>
      </c>
      <c r="F85">
        <v>11.36</v>
      </c>
      <c r="G85">
        <v>95</v>
      </c>
      <c r="H85" s="1">
        <v>45003.909722222219</v>
      </c>
      <c r="I85" s="1">
        <v>45003.963194444441</v>
      </c>
      <c r="J85" s="1">
        <v>45003.92083333333</v>
      </c>
      <c r="K85" s="1">
        <v>45003.974305555559</v>
      </c>
      <c r="L85" t="s">
        <v>19</v>
      </c>
      <c r="M85" t="s">
        <v>20</v>
      </c>
    </row>
    <row r="86" spans="1:13" x14ac:dyDescent="0.3">
      <c r="A86" t="s">
        <v>114</v>
      </c>
      <c r="B86" t="s">
        <v>30</v>
      </c>
      <c r="C86" t="s">
        <v>27</v>
      </c>
      <c r="D86">
        <v>3.38</v>
      </c>
      <c r="E86">
        <v>44</v>
      </c>
      <c r="F86">
        <v>3.35</v>
      </c>
      <c r="G86">
        <v>87</v>
      </c>
      <c r="H86" s="1">
        <v>45003.916666666664</v>
      </c>
      <c r="I86" s="1">
        <v>45003.947222222225</v>
      </c>
      <c r="J86" s="1">
        <v>45003.916666666664</v>
      </c>
      <c r="K86" s="1">
        <v>45003.947222222225</v>
      </c>
      <c r="L86" t="s">
        <v>16</v>
      </c>
      <c r="M86" t="s">
        <v>28</v>
      </c>
    </row>
    <row r="87" spans="1:13" x14ac:dyDescent="0.3">
      <c r="A87" t="s">
        <v>115</v>
      </c>
      <c r="B87" t="s">
        <v>34</v>
      </c>
      <c r="C87" t="s">
        <v>36</v>
      </c>
      <c r="D87">
        <v>2.77</v>
      </c>
      <c r="E87">
        <v>77</v>
      </c>
      <c r="F87">
        <v>14.07</v>
      </c>
      <c r="G87">
        <v>93</v>
      </c>
      <c r="H87" s="1">
        <v>45003.923611111109</v>
      </c>
      <c r="I87" s="1">
        <v>45003.977083333331</v>
      </c>
      <c r="J87" s="1">
        <v>45003.925000000003</v>
      </c>
      <c r="K87" s="1">
        <v>45003.978472222225</v>
      </c>
      <c r="L87" t="s">
        <v>16</v>
      </c>
      <c r="M87" t="s">
        <v>17</v>
      </c>
    </row>
    <row r="88" spans="1:13" x14ac:dyDescent="0.3">
      <c r="A88" t="s">
        <v>116</v>
      </c>
      <c r="B88" t="s">
        <v>40</v>
      </c>
      <c r="C88" t="s">
        <v>27</v>
      </c>
      <c r="D88">
        <v>2.33</v>
      </c>
      <c r="E88">
        <v>59</v>
      </c>
      <c r="F88">
        <v>14.83</v>
      </c>
      <c r="G88">
        <v>98</v>
      </c>
      <c r="H88" s="1">
        <v>45003.930555555555</v>
      </c>
      <c r="I88" s="1">
        <v>45003.97152777778</v>
      </c>
      <c r="J88" s="1">
        <v>45003.938888888886</v>
      </c>
      <c r="K88" s="1">
        <v>45003.979861111111</v>
      </c>
      <c r="L88" t="s">
        <v>19</v>
      </c>
      <c r="M88" t="s">
        <v>20</v>
      </c>
    </row>
    <row r="89" spans="1:13" x14ac:dyDescent="0.3">
      <c r="A89" t="s">
        <v>117</v>
      </c>
      <c r="B89" t="s">
        <v>22</v>
      </c>
      <c r="C89" t="s">
        <v>23</v>
      </c>
      <c r="D89">
        <v>1.36</v>
      </c>
      <c r="E89">
        <v>60</v>
      </c>
      <c r="F89">
        <v>9.56</v>
      </c>
      <c r="G89">
        <v>94</v>
      </c>
      <c r="H89" s="1">
        <v>45003.9375</v>
      </c>
      <c r="I89" s="1">
        <v>45003.979166666664</v>
      </c>
      <c r="J89" s="1">
        <v>45003.93472222222</v>
      </c>
      <c r="K89" s="1">
        <v>45003.976388888892</v>
      </c>
      <c r="L89" t="s">
        <v>16</v>
      </c>
      <c r="M89" t="s">
        <v>20</v>
      </c>
    </row>
    <row r="90" spans="1:13" x14ac:dyDescent="0.3">
      <c r="A90" t="s">
        <v>118</v>
      </c>
      <c r="B90" t="s">
        <v>22</v>
      </c>
      <c r="C90" t="s">
        <v>15</v>
      </c>
      <c r="D90">
        <v>4.66</v>
      </c>
      <c r="E90">
        <v>55</v>
      </c>
      <c r="F90">
        <v>14.16</v>
      </c>
      <c r="G90">
        <v>81</v>
      </c>
      <c r="H90" s="1">
        <v>45003.944444444445</v>
      </c>
      <c r="I90" s="1">
        <v>45003.982638888891</v>
      </c>
      <c r="J90" s="1">
        <v>45003.940972222219</v>
      </c>
      <c r="K90" s="1">
        <v>45003.979166666664</v>
      </c>
      <c r="L90" t="s">
        <v>16</v>
      </c>
      <c r="M90" t="s">
        <v>20</v>
      </c>
    </row>
    <row r="91" spans="1:13" x14ac:dyDescent="0.3">
      <c r="A91" t="s">
        <v>119</v>
      </c>
      <c r="B91" t="s">
        <v>30</v>
      </c>
      <c r="C91" t="s">
        <v>27</v>
      </c>
      <c r="D91">
        <v>2.38</v>
      </c>
      <c r="E91">
        <v>27</v>
      </c>
      <c r="F91">
        <v>12.34</v>
      </c>
      <c r="G91">
        <v>99</v>
      </c>
      <c r="H91" s="1">
        <v>45003.951388888891</v>
      </c>
      <c r="I91" s="1">
        <v>45003.970138888886</v>
      </c>
      <c r="J91" s="1">
        <v>45003.961805555555</v>
      </c>
      <c r="K91" s="1">
        <v>45003.980555555558</v>
      </c>
      <c r="L91" t="s">
        <v>19</v>
      </c>
      <c r="M91" t="s">
        <v>20</v>
      </c>
    </row>
    <row r="92" spans="1:13" x14ac:dyDescent="0.3">
      <c r="A92" t="s">
        <v>120</v>
      </c>
      <c r="B92" t="s">
        <v>30</v>
      </c>
      <c r="C92" t="s">
        <v>15</v>
      </c>
      <c r="D92">
        <v>4.8600000000000003</v>
      </c>
      <c r="E92">
        <v>60</v>
      </c>
      <c r="F92">
        <v>14.6</v>
      </c>
      <c r="G92">
        <v>83</v>
      </c>
      <c r="H92" s="1">
        <v>45003.958333333336</v>
      </c>
      <c r="I92" s="1">
        <v>45004</v>
      </c>
      <c r="J92" s="1">
        <v>45003.957638888889</v>
      </c>
      <c r="K92" s="1">
        <v>45003.999305555553</v>
      </c>
      <c r="L92" t="s">
        <v>16</v>
      </c>
      <c r="M92" t="s">
        <v>20</v>
      </c>
    </row>
    <row r="93" spans="1:13" x14ac:dyDescent="0.3">
      <c r="A93" t="s">
        <v>121</v>
      </c>
      <c r="B93" t="s">
        <v>40</v>
      </c>
      <c r="C93" t="s">
        <v>32</v>
      </c>
      <c r="D93">
        <v>4.8499999999999996</v>
      </c>
      <c r="E93">
        <v>90</v>
      </c>
      <c r="F93">
        <v>8.14</v>
      </c>
      <c r="G93">
        <v>96</v>
      </c>
      <c r="H93" s="1">
        <v>45003.965277777781</v>
      </c>
      <c r="I93" s="1">
        <v>45004.027777777781</v>
      </c>
      <c r="L93" t="s">
        <v>24</v>
      </c>
      <c r="M93" t="s">
        <v>20</v>
      </c>
    </row>
    <row r="94" spans="1:13" x14ac:dyDescent="0.3">
      <c r="A94" t="s">
        <v>122</v>
      </c>
      <c r="B94" t="s">
        <v>40</v>
      </c>
      <c r="C94" t="s">
        <v>27</v>
      </c>
      <c r="D94">
        <v>1.63</v>
      </c>
      <c r="E94">
        <v>86</v>
      </c>
      <c r="F94">
        <v>9.92</v>
      </c>
      <c r="G94">
        <v>98</v>
      </c>
      <c r="H94" s="1">
        <v>45003.972222222219</v>
      </c>
      <c r="I94" s="1">
        <v>45004.031944444447</v>
      </c>
      <c r="J94" s="1">
        <v>45003.980555555558</v>
      </c>
      <c r="K94" s="1">
        <v>45004.040277777778</v>
      </c>
      <c r="L94" t="s">
        <v>19</v>
      </c>
      <c r="M94" t="s">
        <v>20</v>
      </c>
    </row>
    <row r="95" spans="1:13" x14ac:dyDescent="0.3">
      <c r="A95" t="s">
        <v>123</v>
      </c>
      <c r="B95" t="s">
        <v>34</v>
      </c>
      <c r="C95" t="s">
        <v>27</v>
      </c>
      <c r="D95">
        <v>4.43</v>
      </c>
      <c r="E95">
        <v>51</v>
      </c>
      <c r="F95">
        <v>7.61</v>
      </c>
      <c r="G95">
        <v>86</v>
      </c>
      <c r="H95" s="1">
        <v>45003.979166666664</v>
      </c>
      <c r="I95" s="1">
        <v>45004.01458333333</v>
      </c>
      <c r="J95" s="1">
        <v>45003.991666666669</v>
      </c>
      <c r="K95" s="1">
        <v>45004.027083333334</v>
      </c>
      <c r="L95" t="s">
        <v>19</v>
      </c>
      <c r="M95" t="s">
        <v>20</v>
      </c>
    </row>
    <row r="96" spans="1:13" x14ac:dyDescent="0.3">
      <c r="A96" t="s">
        <v>124</v>
      </c>
      <c r="B96" t="s">
        <v>40</v>
      </c>
      <c r="C96" t="s">
        <v>27</v>
      </c>
      <c r="D96">
        <v>3.43</v>
      </c>
      <c r="E96">
        <v>113</v>
      </c>
      <c r="F96">
        <v>9.2200000000000006</v>
      </c>
      <c r="G96">
        <v>89</v>
      </c>
      <c r="H96" s="1">
        <v>45003.986111111109</v>
      </c>
      <c r="I96" s="1">
        <v>45004.064583333333</v>
      </c>
      <c r="J96" s="1">
        <v>45003.984722222223</v>
      </c>
      <c r="K96" s="1">
        <v>45004.063194444447</v>
      </c>
      <c r="L96" t="s">
        <v>16</v>
      </c>
      <c r="M96" t="s">
        <v>20</v>
      </c>
    </row>
    <row r="97" spans="1:13" x14ac:dyDescent="0.3">
      <c r="A97" t="s">
        <v>125</v>
      </c>
      <c r="B97" t="s">
        <v>34</v>
      </c>
      <c r="C97" t="s">
        <v>32</v>
      </c>
      <c r="D97">
        <v>4.18</v>
      </c>
      <c r="E97">
        <v>110</v>
      </c>
      <c r="F97">
        <v>10.67</v>
      </c>
      <c r="G97">
        <v>99</v>
      </c>
      <c r="H97" s="1">
        <v>45003.993055555555</v>
      </c>
      <c r="I97" s="1">
        <v>45004.069444444445</v>
      </c>
      <c r="J97" s="1">
        <v>45004.013888888891</v>
      </c>
      <c r="K97" s="1">
        <v>45004.090277777781</v>
      </c>
      <c r="L97" t="s">
        <v>19</v>
      </c>
      <c r="M97" t="s">
        <v>20</v>
      </c>
    </row>
    <row r="98" spans="1:13" x14ac:dyDescent="0.3">
      <c r="A98" t="s">
        <v>126</v>
      </c>
      <c r="B98" t="s">
        <v>22</v>
      </c>
      <c r="C98" t="s">
        <v>36</v>
      </c>
      <c r="D98">
        <v>3.88</v>
      </c>
      <c r="E98">
        <v>57</v>
      </c>
      <c r="F98">
        <v>3.8</v>
      </c>
      <c r="G98">
        <v>87</v>
      </c>
      <c r="H98" s="1">
        <v>45004</v>
      </c>
      <c r="I98" s="1">
        <v>45004.039583333331</v>
      </c>
      <c r="J98" s="1">
        <v>45004.015972222223</v>
      </c>
      <c r="K98" s="1">
        <v>45004.055555555555</v>
      </c>
      <c r="L98" t="s">
        <v>19</v>
      </c>
      <c r="M98" t="s">
        <v>20</v>
      </c>
    </row>
    <row r="99" spans="1:13" x14ac:dyDescent="0.3">
      <c r="A99" t="s">
        <v>127</v>
      </c>
      <c r="B99" t="s">
        <v>40</v>
      </c>
      <c r="C99" t="s">
        <v>15</v>
      </c>
      <c r="D99">
        <v>3.87</v>
      </c>
      <c r="E99">
        <v>91</v>
      </c>
      <c r="F99">
        <v>14.55</v>
      </c>
      <c r="G99">
        <v>92</v>
      </c>
      <c r="H99" s="1">
        <v>45004.006944444445</v>
      </c>
      <c r="I99" s="1">
        <v>45004.070138888892</v>
      </c>
      <c r="J99" s="1">
        <v>45004.007638888892</v>
      </c>
      <c r="K99" s="1">
        <v>45004.070833333331</v>
      </c>
      <c r="L99" t="s">
        <v>16</v>
      </c>
      <c r="M99" t="s">
        <v>17</v>
      </c>
    </row>
    <row r="100" spans="1:13" x14ac:dyDescent="0.3">
      <c r="A100" t="s">
        <v>128</v>
      </c>
      <c r="B100" t="s">
        <v>34</v>
      </c>
      <c r="C100" t="s">
        <v>23</v>
      </c>
      <c r="D100">
        <v>1.79</v>
      </c>
      <c r="E100">
        <v>33</v>
      </c>
      <c r="F100">
        <v>3.17</v>
      </c>
      <c r="G100">
        <v>80</v>
      </c>
      <c r="H100" s="1">
        <v>45004.013888888891</v>
      </c>
      <c r="I100" s="1">
        <v>45004.036805555559</v>
      </c>
      <c r="L100" t="s">
        <v>24</v>
      </c>
      <c r="M100" t="s">
        <v>20</v>
      </c>
    </row>
    <row r="101" spans="1:13" x14ac:dyDescent="0.3">
      <c r="A101" t="s">
        <v>129</v>
      </c>
      <c r="B101" t="s">
        <v>30</v>
      </c>
      <c r="C101" t="s">
        <v>15</v>
      </c>
      <c r="D101">
        <v>2.71</v>
      </c>
      <c r="E101">
        <v>27</v>
      </c>
      <c r="F101">
        <v>12.24</v>
      </c>
      <c r="G101">
        <v>96</v>
      </c>
      <c r="H101" s="1">
        <v>45004.020833333336</v>
      </c>
      <c r="I101" s="1">
        <v>45004.039583333331</v>
      </c>
      <c r="J101" s="1">
        <v>45004.024305555555</v>
      </c>
      <c r="K101" s="1">
        <v>45004.043055555558</v>
      </c>
      <c r="L101" t="s">
        <v>16</v>
      </c>
      <c r="M101" t="s">
        <v>17</v>
      </c>
    </row>
    <row r="102" spans="1:13" x14ac:dyDescent="0.3">
      <c r="A102" t="s">
        <v>130</v>
      </c>
      <c r="B102" t="s">
        <v>34</v>
      </c>
      <c r="C102" t="s">
        <v>23</v>
      </c>
      <c r="D102">
        <v>4.8</v>
      </c>
      <c r="E102">
        <v>37</v>
      </c>
      <c r="F102">
        <v>4.7300000000000004</v>
      </c>
      <c r="G102">
        <v>92</v>
      </c>
      <c r="H102" s="1">
        <v>45004.027777777781</v>
      </c>
      <c r="I102" s="1">
        <v>45004.053472222222</v>
      </c>
      <c r="J102" s="1">
        <v>45004.025694444441</v>
      </c>
      <c r="K102" s="1">
        <v>45004.051388888889</v>
      </c>
      <c r="L102" t="s">
        <v>16</v>
      </c>
      <c r="M102" t="s">
        <v>20</v>
      </c>
    </row>
    <row r="103" spans="1:13" x14ac:dyDescent="0.3">
      <c r="A103" t="s">
        <v>131</v>
      </c>
      <c r="B103" t="s">
        <v>22</v>
      </c>
      <c r="C103" t="s">
        <v>15</v>
      </c>
      <c r="D103">
        <v>4.96</v>
      </c>
      <c r="E103">
        <v>110</v>
      </c>
      <c r="F103">
        <v>14.56</v>
      </c>
      <c r="G103">
        <v>88</v>
      </c>
      <c r="H103" s="1">
        <v>45004.034722222219</v>
      </c>
      <c r="I103" s="1">
        <v>45004.111111111109</v>
      </c>
      <c r="J103" s="1">
        <v>45004.03402777778</v>
      </c>
      <c r="K103" s="1">
        <v>45004.11041666667</v>
      </c>
      <c r="L103" t="s">
        <v>16</v>
      </c>
      <c r="M103" t="s">
        <v>20</v>
      </c>
    </row>
    <row r="104" spans="1:13" x14ac:dyDescent="0.3">
      <c r="A104" t="s">
        <v>132</v>
      </c>
      <c r="B104" t="s">
        <v>34</v>
      </c>
      <c r="C104" t="s">
        <v>27</v>
      </c>
      <c r="D104">
        <v>2.54</v>
      </c>
      <c r="E104">
        <v>105</v>
      </c>
      <c r="F104">
        <v>9.9700000000000006</v>
      </c>
      <c r="G104">
        <v>96</v>
      </c>
      <c r="H104" s="1">
        <v>45004.041666666664</v>
      </c>
      <c r="I104" s="1">
        <v>45004.114583333336</v>
      </c>
      <c r="J104" s="1">
        <v>45004.051388888889</v>
      </c>
      <c r="K104" s="1">
        <v>45004.124305555553</v>
      </c>
      <c r="L104" t="s">
        <v>19</v>
      </c>
      <c r="M104" t="s">
        <v>20</v>
      </c>
    </row>
    <row r="105" spans="1:13" x14ac:dyDescent="0.3">
      <c r="A105" t="s">
        <v>133</v>
      </c>
      <c r="B105" t="s">
        <v>34</v>
      </c>
      <c r="C105" t="s">
        <v>32</v>
      </c>
      <c r="D105">
        <v>3.6</v>
      </c>
      <c r="E105">
        <v>62</v>
      </c>
      <c r="F105">
        <v>8.4499999999999993</v>
      </c>
      <c r="G105">
        <v>87</v>
      </c>
      <c r="H105" s="1">
        <v>45004.048611111109</v>
      </c>
      <c r="I105" s="1">
        <v>45004.091666666667</v>
      </c>
      <c r="J105" s="1">
        <v>45004.045138888891</v>
      </c>
      <c r="K105" s="1">
        <v>45004.088194444441</v>
      </c>
      <c r="L105" t="s">
        <v>16</v>
      </c>
      <c r="M105" t="s">
        <v>20</v>
      </c>
    </row>
    <row r="106" spans="1:13" x14ac:dyDescent="0.3">
      <c r="A106" t="s">
        <v>134</v>
      </c>
      <c r="B106" t="s">
        <v>40</v>
      </c>
      <c r="C106" t="s">
        <v>15</v>
      </c>
      <c r="D106">
        <v>1.85</v>
      </c>
      <c r="E106">
        <v>43</v>
      </c>
      <c r="F106">
        <v>13.65</v>
      </c>
      <c r="G106">
        <v>86</v>
      </c>
      <c r="H106" s="1">
        <v>45004.055555555555</v>
      </c>
      <c r="I106" s="1">
        <v>45004.085416666669</v>
      </c>
      <c r="J106" s="1">
        <v>45004.054166666669</v>
      </c>
      <c r="K106" s="1">
        <v>45004.084027777775</v>
      </c>
      <c r="L106" t="s">
        <v>16</v>
      </c>
      <c r="M106" t="s">
        <v>20</v>
      </c>
    </row>
    <row r="107" spans="1:13" x14ac:dyDescent="0.3">
      <c r="A107" t="s">
        <v>135</v>
      </c>
      <c r="B107" t="s">
        <v>40</v>
      </c>
      <c r="C107" t="s">
        <v>15</v>
      </c>
      <c r="D107">
        <v>4.58</v>
      </c>
      <c r="E107">
        <v>107</v>
      </c>
      <c r="F107">
        <v>8.8000000000000007</v>
      </c>
      <c r="G107">
        <v>80</v>
      </c>
      <c r="H107" s="1">
        <v>45004.0625</v>
      </c>
      <c r="I107" s="1">
        <v>45004.136805555558</v>
      </c>
      <c r="J107" s="1">
        <v>45004.060416666667</v>
      </c>
      <c r="K107" s="1">
        <v>45004.134722222225</v>
      </c>
      <c r="L107" t="s">
        <v>16</v>
      </c>
      <c r="M107" t="s">
        <v>20</v>
      </c>
    </row>
    <row r="108" spans="1:13" x14ac:dyDescent="0.3">
      <c r="A108" t="s">
        <v>136</v>
      </c>
      <c r="B108" t="s">
        <v>22</v>
      </c>
      <c r="C108" t="s">
        <v>15</v>
      </c>
      <c r="D108">
        <v>3.86</v>
      </c>
      <c r="E108">
        <v>103</v>
      </c>
      <c r="F108">
        <v>13.37</v>
      </c>
      <c r="G108">
        <v>92</v>
      </c>
      <c r="H108" s="1">
        <v>45004.069444444445</v>
      </c>
      <c r="I108" s="1">
        <v>45004.140972222223</v>
      </c>
      <c r="L108" t="s">
        <v>24</v>
      </c>
      <c r="M108" t="s">
        <v>20</v>
      </c>
    </row>
    <row r="109" spans="1:13" x14ac:dyDescent="0.3">
      <c r="A109" t="s">
        <v>137</v>
      </c>
      <c r="B109" t="s">
        <v>34</v>
      </c>
      <c r="C109" t="s">
        <v>27</v>
      </c>
      <c r="D109">
        <v>3.28</v>
      </c>
      <c r="E109">
        <v>78</v>
      </c>
      <c r="F109">
        <v>14.78</v>
      </c>
      <c r="G109">
        <v>84</v>
      </c>
      <c r="H109" s="1">
        <v>45004.076388888891</v>
      </c>
      <c r="I109" s="1">
        <v>45004.130555555559</v>
      </c>
      <c r="J109" s="1">
        <v>45004.07708333333</v>
      </c>
      <c r="K109" s="1">
        <v>45004.131249999999</v>
      </c>
      <c r="L109" t="s">
        <v>16</v>
      </c>
      <c r="M109" t="s">
        <v>17</v>
      </c>
    </row>
    <row r="110" spans="1:13" x14ac:dyDescent="0.3">
      <c r="A110" t="s">
        <v>138</v>
      </c>
      <c r="B110" t="s">
        <v>34</v>
      </c>
      <c r="C110" t="s">
        <v>27</v>
      </c>
      <c r="D110">
        <v>3.19</v>
      </c>
      <c r="E110">
        <v>102</v>
      </c>
      <c r="F110">
        <v>5.14</v>
      </c>
      <c r="G110">
        <v>84</v>
      </c>
      <c r="H110" s="1">
        <v>45004.083333333336</v>
      </c>
      <c r="I110" s="1">
        <v>45004.154166666667</v>
      </c>
      <c r="J110" s="1">
        <v>45004.079861111109</v>
      </c>
      <c r="K110" s="1">
        <v>45004.150694444441</v>
      </c>
      <c r="L110" t="s">
        <v>16</v>
      </c>
      <c r="M110" t="s">
        <v>20</v>
      </c>
    </row>
    <row r="111" spans="1:13" x14ac:dyDescent="0.3">
      <c r="A111" t="s">
        <v>139</v>
      </c>
      <c r="B111" t="s">
        <v>34</v>
      </c>
      <c r="C111" t="s">
        <v>23</v>
      </c>
      <c r="D111">
        <v>3.17</v>
      </c>
      <c r="E111">
        <v>107</v>
      </c>
      <c r="F111">
        <v>9.31</v>
      </c>
      <c r="G111">
        <v>89</v>
      </c>
      <c r="H111" s="1">
        <v>45004.090277777781</v>
      </c>
      <c r="I111" s="1">
        <v>45004.164583333331</v>
      </c>
      <c r="J111" s="1">
        <v>45004.088888888888</v>
      </c>
      <c r="K111" s="1">
        <v>45004.163194444445</v>
      </c>
      <c r="L111" t="s">
        <v>16</v>
      </c>
      <c r="M111" t="s">
        <v>20</v>
      </c>
    </row>
    <row r="112" spans="1:13" x14ac:dyDescent="0.3">
      <c r="A112" t="s">
        <v>140</v>
      </c>
      <c r="B112" t="s">
        <v>14</v>
      </c>
      <c r="C112" t="s">
        <v>36</v>
      </c>
      <c r="D112">
        <v>2.87</v>
      </c>
      <c r="E112">
        <v>119</v>
      </c>
      <c r="F112">
        <v>13.26</v>
      </c>
      <c r="G112">
        <v>80</v>
      </c>
      <c r="H112" s="1">
        <v>45004.097222222219</v>
      </c>
      <c r="I112" s="1">
        <v>45004.179861111108</v>
      </c>
      <c r="J112" s="1">
        <v>45004.094444444447</v>
      </c>
      <c r="K112" s="1">
        <v>45004.177083333336</v>
      </c>
      <c r="L112" t="s">
        <v>16</v>
      </c>
      <c r="M112" t="s">
        <v>20</v>
      </c>
    </row>
    <row r="113" spans="1:13" x14ac:dyDescent="0.3">
      <c r="A113" t="s">
        <v>141</v>
      </c>
      <c r="B113" t="s">
        <v>30</v>
      </c>
      <c r="C113" t="s">
        <v>27</v>
      </c>
      <c r="D113">
        <v>3.71</v>
      </c>
      <c r="E113">
        <v>74</v>
      </c>
      <c r="F113">
        <v>7.12</v>
      </c>
      <c r="G113">
        <v>95</v>
      </c>
      <c r="H113" s="1">
        <v>45004.104166666664</v>
      </c>
      <c r="I113" s="1">
        <v>45004.155555555553</v>
      </c>
      <c r="J113" s="1">
        <v>45004.107638888891</v>
      </c>
      <c r="K113" s="1">
        <v>45004.15902777778</v>
      </c>
      <c r="L113" t="s">
        <v>16</v>
      </c>
      <c r="M113" t="s">
        <v>17</v>
      </c>
    </row>
    <row r="114" spans="1:13" x14ac:dyDescent="0.3">
      <c r="A114" t="s">
        <v>142</v>
      </c>
      <c r="B114" t="s">
        <v>14</v>
      </c>
      <c r="C114" t="s">
        <v>36</v>
      </c>
      <c r="D114">
        <v>3.77</v>
      </c>
      <c r="E114">
        <v>103</v>
      </c>
      <c r="F114">
        <v>2.25</v>
      </c>
      <c r="G114">
        <v>95</v>
      </c>
      <c r="H114" s="1">
        <v>45004.111111111109</v>
      </c>
      <c r="I114" s="1">
        <v>45004.182638888888</v>
      </c>
      <c r="J114" s="1">
        <v>45004.109722222223</v>
      </c>
      <c r="K114" s="1">
        <v>45004.181250000001</v>
      </c>
      <c r="L114" t="s">
        <v>16</v>
      </c>
      <c r="M114" t="s">
        <v>20</v>
      </c>
    </row>
    <row r="115" spans="1:13" x14ac:dyDescent="0.3">
      <c r="A115" t="s">
        <v>143</v>
      </c>
      <c r="B115" t="s">
        <v>14</v>
      </c>
      <c r="C115" t="s">
        <v>27</v>
      </c>
      <c r="D115">
        <v>1.26</v>
      </c>
      <c r="E115">
        <v>116</v>
      </c>
      <c r="F115">
        <v>4.3600000000000003</v>
      </c>
      <c r="G115">
        <v>98</v>
      </c>
      <c r="H115" s="1">
        <v>45004.118055555555</v>
      </c>
      <c r="I115" s="1">
        <v>45004.198611111111</v>
      </c>
      <c r="J115" s="1">
        <v>45004.134027777778</v>
      </c>
      <c r="K115" s="1">
        <v>45004.214583333334</v>
      </c>
      <c r="L115" t="s">
        <v>19</v>
      </c>
      <c r="M115" t="s">
        <v>20</v>
      </c>
    </row>
    <row r="116" spans="1:13" x14ac:dyDescent="0.3">
      <c r="A116" t="s">
        <v>144</v>
      </c>
      <c r="B116" t="s">
        <v>22</v>
      </c>
      <c r="C116" t="s">
        <v>27</v>
      </c>
      <c r="D116">
        <v>1.32</v>
      </c>
      <c r="E116">
        <v>114</v>
      </c>
      <c r="F116">
        <v>9.49</v>
      </c>
      <c r="G116">
        <v>86</v>
      </c>
      <c r="H116" s="1">
        <v>45004.125</v>
      </c>
      <c r="I116" s="1">
        <v>45004.20416666667</v>
      </c>
      <c r="J116" s="1">
        <v>45004.125</v>
      </c>
      <c r="K116" s="1">
        <v>45004.20416666667</v>
      </c>
      <c r="L116" t="s">
        <v>16</v>
      </c>
      <c r="M116" t="s">
        <v>28</v>
      </c>
    </row>
    <row r="117" spans="1:13" x14ac:dyDescent="0.3">
      <c r="A117" t="s">
        <v>145</v>
      </c>
      <c r="B117" t="s">
        <v>22</v>
      </c>
      <c r="C117" t="s">
        <v>32</v>
      </c>
      <c r="D117">
        <v>2.11</v>
      </c>
      <c r="E117">
        <v>77</v>
      </c>
      <c r="F117">
        <v>5.69</v>
      </c>
      <c r="G117">
        <v>90</v>
      </c>
      <c r="H117" s="1">
        <v>45004.131944444445</v>
      </c>
      <c r="I117" s="1">
        <v>45004.185416666667</v>
      </c>
      <c r="J117" s="1">
        <v>45004.130555555559</v>
      </c>
      <c r="K117" s="1">
        <v>45004.184027777781</v>
      </c>
      <c r="L117" t="s">
        <v>16</v>
      </c>
      <c r="M117" t="s">
        <v>20</v>
      </c>
    </row>
    <row r="118" spans="1:13" x14ac:dyDescent="0.3">
      <c r="A118" t="s">
        <v>146</v>
      </c>
      <c r="B118" t="s">
        <v>30</v>
      </c>
      <c r="C118" t="s">
        <v>15</v>
      </c>
      <c r="D118">
        <v>1.57</v>
      </c>
      <c r="E118">
        <v>67</v>
      </c>
      <c r="F118">
        <v>5.41</v>
      </c>
      <c r="G118">
        <v>81</v>
      </c>
      <c r="H118" s="1">
        <v>45004.138888888891</v>
      </c>
      <c r="I118" s="1">
        <v>45004.185416666667</v>
      </c>
      <c r="J118" s="1">
        <v>45004.136111111111</v>
      </c>
      <c r="K118" s="1">
        <v>45004.182638888888</v>
      </c>
      <c r="L118" t="s">
        <v>16</v>
      </c>
      <c r="M118" t="s">
        <v>20</v>
      </c>
    </row>
    <row r="119" spans="1:13" x14ac:dyDescent="0.3">
      <c r="A119" t="s">
        <v>147</v>
      </c>
      <c r="B119" t="s">
        <v>30</v>
      </c>
      <c r="C119" t="s">
        <v>27</v>
      </c>
      <c r="D119">
        <v>1.1399999999999999</v>
      </c>
      <c r="E119">
        <v>68</v>
      </c>
      <c r="F119">
        <v>12.12</v>
      </c>
      <c r="G119">
        <v>83</v>
      </c>
      <c r="H119" s="1">
        <v>45004.145833333336</v>
      </c>
      <c r="I119" s="1">
        <v>45004.193055555559</v>
      </c>
      <c r="L119" t="s">
        <v>24</v>
      </c>
      <c r="M119" t="s">
        <v>20</v>
      </c>
    </row>
    <row r="120" spans="1:13" x14ac:dyDescent="0.3">
      <c r="A120" t="s">
        <v>148</v>
      </c>
      <c r="B120" t="s">
        <v>22</v>
      </c>
      <c r="C120" t="s">
        <v>36</v>
      </c>
      <c r="D120">
        <v>1.0900000000000001</v>
      </c>
      <c r="E120">
        <v>58</v>
      </c>
      <c r="F120">
        <v>6.55</v>
      </c>
      <c r="G120">
        <v>89</v>
      </c>
      <c r="H120" s="1">
        <v>45004.152777777781</v>
      </c>
      <c r="I120" s="1">
        <v>45004.193055555559</v>
      </c>
      <c r="J120" s="1">
        <v>45004.15347222222</v>
      </c>
      <c r="K120" s="1">
        <v>45004.193749999999</v>
      </c>
      <c r="L120" t="s">
        <v>16</v>
      </c>
      <c r="M120" t="s">
        <v>28</v>
      </c>
    </row>
    <row r="121" spans="1:13" x14ac:dyDescent="0.3">
      <c r="A121" t="s">
        <v>149</v>
      </c>
      <c r="B121" t="s">
        <v>22</v>
      </c>
      <c r="C121" t="s">
        <v>27</v>
      </c>
      <c r="D121">
        <v>1.22</v>
      </c>
      <c r="E121">
        <v>33</v>
      </c>
      <c r="F121">
        <v>5.5</v>
      </c>
      <c r="G121">
        <v>91</v>
      </c>
      <c r="H121" s="1">
        <v>45004.159722222219</v>
      </c>
      <c r="I121" s="1">
        <v>45004.182638888888</v>
      </c>
      <c r="J121" s="1">
        <v>45004.162499999999</v>
      </c>
      <c r="K121" s="1">
        <v>45004.185416666667</v>
      </c>
      <c r="L121" t="s">
        <v>16</v>
      </c>
      <c r="M121" t="s">
        <v>28</v>
      </c>
    </row>
    <row r="122" spans="1:13" x14ac:dyDescent="0.3">
      <c r="A122" t="s">
        <v>150</v>
      </c>
      <c r="B122" t="s">
        <v>34</v>
      </c>
      <c r="C122" t="s">
        <v>23</v>
      </c>
      <c r="D122">
        <v>4.13</v>
      </c>
      <c r="E122">
        <v>39</v>
      </c>
      <c r="F122">
        <v>8.06</v>
      </c>
      <c r="G122">
        <v>91</v>
      </c>
      <c r="H122" s="1">
        <v>45004.166666666664</v>
      </c>
      <c r="I122" s="1">
        <v>45004.193749999999</v>
      </c>
      <c r="J122" s="1">
        <v>45004.163888888892</v>
      </c>
      <c r="K122" s="1">
        <v>45004.190972222219</v>
      </c>
      <c r="L122" t="s">
        <v>16</v>
      </c>
      <c r="M122" t="s">
        <v>20</v>
      </c>
    </row>
    <row r="123" spans="1:13" x14ac:dyDescent="0.3">
      <c r="A123" t="s">
        <v>151</v>
      </c>
      <c r="B123" t="s">
        <v>30</v>
      </c>
      <c r="C123" t="s">
        <v>15</v>
      </c>
      <c r="D123">
        <v>3.22</v>
      </c>
      <c r="E123">
        <v>102</v>
      </c>
      <c r="F123">
        <v>7.75</v>
      </c>
      <c r="G123">
        <v>96</v>
      </c>
      <c r="H123" s="1">
        <v>45004.173611111109</v>
      </c>
      <c r="I123" s="1">
        <v>45004.244444444441</v>
      </c>
      <c r="J123" s="1">
        <v>45004.171527777777</v>
      </c>
      <c r="K123" s="1">
        <v>45004.242361111108</v>
      </c>
      <c r="L123" t="s">
        <v>16</v>
      </c>
      <c r="M123" t="s">
        <v>20</v>
      </c>
    </row>
    <row r="124" spans="1:13" x14ac:dyDescent="0.3">
      <c r="A124" t="s">
        <v>152</v>
      </c>
      <c r="B124" t="s">
        <v>22</v>
      </c>
      <c r="C124" t="s">
        <v>15</v>
      </c>
      <c r="D124">
        <v>2.65</v>
      </c>
      <c r="E124">
        <v>85</v>
      </c>
      <c r="F124">
        <v>8.35</v>
      </c>
      <c r="G124">
        <v>80</v>
      </c>
      <c r="H124" s="1">
        <v>45004.180555555555</v>
      </c>
      <c r="I124" s="1">
        <v>45004.239583333336</v>
      </c>
      <c r="J124" s="1">
        <v>45004.178472222222</v>
      </c>
      <c r="K124" s="1">
        <v>45004.237500000003</v>
      </c>
      <c r="L124" t="s">
        <v>16</v>
      </c>
      <c r="M124" t="s">
        <v>20</v>
      </c>
    </row>
    <row r="125" spans="1:13" x14ac:dyDescent="0.3">
      <c r="A125" t="s">
        <v>153</v>
      </c>
      <c r="B125" t="s">
        <v>14</v>
      </c>
      <c r="C125" t="s">
        <v>15</v>
      </c>
      <c r="D125">
        <v>4.75</v>
      </c>
      <c r="E125">
        <v>40</v>
      </c>
      <c r="F125">
        <v>4.42</v>
      </c>
      <c r="G125">
        <v>80</v>
      </c>
      <c r="H125" s="1">
        <v>45004.1875</v>
      </c>
      <c r="I125" s="1">
        <v>45004.215277777781</v>
      </c>
      <c r="J125" s="1">
        <v>45004.188888888886</v>
      </c>
      <c r="K125" s="1">
        <v>45004.216666666667</v>
      </c>
      <c r="L125" t="s">
        <v>16</v>
      </c>
      <c r="M125" t="s">
        <v>28</v>
      </c>
    </row>
    <row r="126" spans="1:13" x14ac:dyDescent="0.3">
      <c r="A126" t="s">
        <v>154</v>
      </c>
      <c r="B126" t="s">
        <v>30</v>
      </c>
      <c r="C126" t="s">
        <v>23</v>
      </c>
      <c r="D126">
        <v>2.4300000000000002</v>
      </c>
      <c r="E126">
        <v>76</v>
      </c>
      <c r="F126">
        <v>3.58</v>
      </c>
      <c r="G126">
        <v>91</v>
      </c>
      <c r="H126" s="1">
        <v>45004.194444444445</v>
      </c>
      <c r="I126" s="1">
        <v>45004.24722222222</v>
      </c>
      <c r="J126" s="1">
        <v>45004.194444444445</v>
      </c>
      <c r="K126" s="1">
        <v>45004.24722222222</v>
      </c>
      <c r="L126" t="s">
        <v>16</v>
      </c>
      <c r="M126" t="s">
        <v>28</v>
      </c>
    </row>
    <row r="127" spans="1:13" x14ac:dyDescent="0.3">
      <c r="A127" t="s">
        <v>155</v>
      </c>
      <c r="B127" t="s">
        <v>14</v>
      </c>
      <c r="C127" t="s">
        <v>32</v>
      </c>
      <c r="D127">
        <v>3.12</v>
      </c>
      <c r="E127">
        <v>70</v>
      </c>
      <c r="F127">
        <v>5.07</v>
      </c>
      <c r="G127">
        <v>98</v>
      </c>
      <c r="H127" s="1">
        <v>45004.201388888891</v>
      </c>
      <c r="I127" s="1">
        <v>45004.25</v>
      </c>
      <c r="J127" s="1">
        <v>45004.197916666664</v>
      </c>
      <c r="K127" s="1">
        <v>45004.246527777781</v>
      </c>
      <c r="L127" t="s">
        <v>16</v>
      </c>
      <c r="M127" t="s">
        <v>20</v>
      </c>
    </row>
    <row r="128" spans="1:13" x14ac:dyDescent="0.3">
      <c r="A128" t="s">
        <v>156</v>
      </c>
      <c r="B128" t="s">
        <v>22</v>
      </c>
      <c r="C128" t="s">
        <v>23</v>
      </c>
      <c r="D128">
        <v>4.22</v>
      </c>
      <c r="E128">
        <v>27</v>
      </c>
      <c r="F128">
        <v>6.94</v>
      </c>
      <c r="G128">
        <v>87</v>
      </c>
      <c r="H128" s="1">
        <v>45004.208333333336</v>
      </c>
      <c r="I128" s="1">
        <v>45004.227083333331</v>
      </c>
      <c r="J128" s="1">
        <v>45004.222916666666</v>
      </c>
      <c r="K128" s="1">
        <v>45004.241666666669</v>
      </c>
      <c r="L128" t="s">
        <v>19</v>
      </c>
      <c r="M128" t="s">
        <v>20</v>
      </c>
    </row>
    <row r="129" spans="1:13" x14ac:dyDescent="0.3">
      <c r="A129" t="s">
        <v>157</v>
      </c>
      <c r="B129" t="s">
        <v>22</v>
      </c>
      <c r="C129" t="s">
        <v>15</v>
      </c>
      <c r="D129">
        <v>3.24</v>
      </c>
      <c r="E129">
        <v>40</v>
      </c>
      <c r="F129">
        <v>10.06</v>
      </c>
      <c r="G129">
        <v>91</v>
      </c>
      <c r="H129" s="1">
        <v>45004.215277777781</v>
      </c>
      <c r="I129" s="1">
        <v>45004.243055555555</v>
      </c>
      <c r="J129" s="1">
        <v>45004.213888888888</v>
      </c>
      <c r="K129" s="1">
        <v>45004.241666666669</v>
      </c>
      <c r="L129" t="s">
        <v>16</v>
      </c>
      <c r="M129" t="s">
        <v>20</v>
      </c>
    </row>
    <row r="130" spans="1:13" x14ac:dyDescent="0.3">
      <c r="A130" t="s">
        <v>158</v>
      </c>
      <c r="B130" t="s">
        <v>34</v>
      </c>
      <c r="C130" t="s">
        <v>15</v>
      </c>
      <c r="D130">
        <v>2.0699999999999998</v>
      </c>
      <c r="E130">
        <v>45</v>
      </c>
      <c r="F130">
        <v>7.75</v>
      </c>
      <c r="G130">
        <v>84</v>
      </c>
      <c r="H130" s="1">
        <v>45004.222222222219</v>
      </c>
      <c r="I130" s="1">
        <v>45004.253472222219</v>
      </c>
      <c r="J130" s="1">
        <v>45004.224999999999</v>
      </c>
      <c r="K130" s="1">
        <v>45004.256249999999</v>
      </c>
      <c r="L130" t="s">
        <v>16</v>
      </c>
      <c r="M130" t="s">
        <v>17</v>
      </c>
    </row>
    <row r="131" spans="1:13" x14ac:dyDescent="0.3">
      <c r="A131" t="s">
        <v>159</v>
      </c>
      <c r="B131" t="s">
        <v>30</v>
      </c>
      <c r="C131" t="s">
        <v>32</v>
      </c>
      <c r="D131">
        <v>1.1000000000000001</v>
      </c>
      <c r="E131">
        <v>78</v>
      </c>
      <c r="F131">
        <v>2.4900000000000002</v>
      </c>
      <c r="G131">
        <v>96</v>
      </c>
      <c r="H131" s="1">
        <v>45004.229166666664</v>
      </c>
      <c r="I131" s="1">
        <v>45004.283333333333</v>
      </c>
      <c r="J131" s="1">
        <v>45004.229861111111</v>
      </c>
      <c r="K131" s="1">
        <v>45004.28402777778</v>
      </c>
      <c r="L131" t="s">
        <v>16</v>
      </c>
      <c r="M131" t="s">
        <v>43</v>
      </c>
    </row>
    <row r="132" spans="1:13" x14ac:dyDescent="0.3">
      <c r="A132" t="s">
        <v>160</v>
      </c>
      <c r="B132" t="s">
        <v>22</v>
      </c>
      <c r="C132" t="s">
        <v>36</v>
      </c>
      <c r="D132">
        <v>3.55</v>
      </c>
      <c r="E132">
        <v>78</v>
      </c>
      <c r="F132">
        <v>4.87</v>
      </c>
      <c r="G132">
        <v>97</v>
      </c>
      <c r="H132" s="1">
        <v>45004.236111111109</v>
      </c>
      <c r="I132" s="1">
        <v>45004.290277777778</v>
      </c>
      <c r="J132" s="1">
        <v>45004.234722222223</v>
      </c>
      <c r="K132" s="1">
        <v>45004.288888888892</v>
      </c>
      <c r="L132" t="s">
        <v>16</v>
      </c>
      <c r="M132" t="s">
        <v>20</v>
      </c>
    </row>
    <row r="133" spans="1:13" x14ac:dyDescent="0.3">
      <c r="A133" t="s">
        <v>161</v>
      </c>
      <c r="B133" t="s">
        <v>14</v>
      </c>
      <c r="C133" t="s">
        <v>23</v>
      </c>
      <c r="D133">
        <v>4.6399999999999997</v>
      </c>
      <c r="E133">
        <v>70</v>
      </c>
      <c r="F133">
        <v>10.68</v>
      </c>
      <c r="G133">
        <v>82</v>
      </c>
      <c r="H133" s="1">
        <v>45004.243055555555</v>
      </c>
      <c r="I133" s="1">
        <v>45004.291666666664</v>
      </c>
      <c r="J133" s="1">
        <v>45004.25277777778</v>
      </c>
      <c r="K133" s="1">
        <v>45004.301388888889</v>
      </c>
      <c r="L133" t="s">
        <v>19</v>
      </c>
      <c r="M133" t="s">
        <v>20</v>
      </c>
    </row>
    <row r="134" spans="1:13" x14ac:dyDescent="0.3">
      <c r="A134" t="s">
        <v>162</v>
      </c>
      <c r="B134" t="s">
        <v>14</v>
      </c>
      <c r="C134" t="s">
        <v>36</v>
      </c>
      <c r="D134">
        <v>4.42</v>
      </c>
      <c r="E134">
        <v>85</v>
      </c>
      <c r="F134">
        <v>6.51</v>
      </c>
      <c r="G134">
        <v>92</v>
      </c>
      <c r="H134" s="1">
        <v>45004.25</v>
      </c>
      <c r="I134" s="1">
        <v>45004.309027777781</v>
      </c>
      <c r="J134" s="1">
        <v>45004.25277777778</v>
      </c>
      <c r="K134" s="1">
        <v>45004.311805555553</v>
      </c>
      <c r="L134" t="s">
        <v>16</v>
      </c>
      <c r="M134" t="s">
        <v>28</v>
      </c>
    </row>
    <row r="135" spans="1:13" x14ac:dyDescent="0.3">
      <c r="A135" t="s">
        <v>163</v>
      </c>
      <c r="B135" t="s">
        <v>40</v>
      </c>
      <c r="C135" t="s">
        <v>27</v>
      </c>
      <c r="D135">
        <v>2.8</v>
      </c>
      <c r="E135">
        <v>71</v>
      </c>
      <c r="F135">
        <v>13.03</v>
      </c>
      <c r="G135">
        <v>89</v>
      </c>
      <c r="H135" s="1">
        <v>45004.256944444445</v>
      </c>
      <c r="I135" s="1">
        <v>45004.306250000001</v>
      </c>
      <c r="L135" t="s">
        <v>24</v>
      </c>
      <c r="M135" t="s">
        <v>20</v>
      </c>
    </row>
    <row r="136" spans="1:13" x14ac:dyDescent="0.3">
      <c r="A136" t="s">
        <v>164</v>
      </c>
      <c r="B136" t="s">
        <v>14</v>
      </c>
      <c r="C136" t="s">
        <v>36</v>
      </c>
      <c r="D136">
        <v>4.6399999999999997</v>
      </c>
      <c r="E136">
        <v>23</v>
      </c>
      <c r="F136">
        <v>8.31</v>
      </c>
      <c r="G136">
        <v>86</v>
      </c>
      <c r="H136" s="1">
        <v>45004.263888888891</v>
      </c>
      <c r="I136" s="1">
        <v>45004.279861111114</v>
      </c>
      <c r="J136" s="1">
        <v>45004.26458333333</v>
      </c>
      <c r="K136" s="1">
        <v>45004.280555555553</v>
      </c>
      <c r="L136" t="s">
        <v>16</v>
      </c>
      <c r="M136" t="s">
        <v>28</v>
      </c>
    </row>
    <row r="137" spans="1:13" x14ac:dyDescent="0.3">
      <c r="A137" t="s">
        <v>165</v>
      </c>
      <c r="B137" t="s">
        <v>22</v>
      </c>
      <c r="C137" t="s">
        <v>36</v>
      </c>
      <c r="D137">
        <v>4.7</v>
      </c>
      <c r="E137">
        <v>78</v>
      </c>
      <c r="F137">
        <v>2.59</v>
      </c>
      <c r="G137">
        <v>95</v>
      </c>
      <c r="H137" s="1">
        <v>45004.270833333336</v>
      </c>
      <c r="I137" s="1">
        <v>45004.324999999997</v>
      </c>
      <c r="J137" s="1">
        <v>45004.270138888889</v>
      </c>
      <c r="K137" s="1">
        <v>45004.324305555558</v>
      </c>
      <c r="L137" t="s">
        <v>16</v>
      </c>
      <c r="M137" t="s">
        <v>20</v>
      </c>
    </row>
    <row r="138" spans="1:13" x14ac:dyDescent="0.3">
      <c r="A138" t="s">
        <v>166</v>
      </c>
      <c r="B138" t="s">
        <v>14</v>
      </c>
      <c r="C138" t="s">
        <v>27</v>
      </c>
      <c r="D138">
        <v>2.86</v>
      </c>
      <c r="E138">
        <v>91</v>
      </c>
      <c r="F138">
        <v>11.79</v>
      </c>
      <c r="G138">
        <v>89</v>
      </c>
      <c r="H138" s="1">
        <v>45004.277777777781</v>
      </c>
      <c r="I138" s="1">
        <v>45004.34097222222</v>
      </c>
      <c r="J138" s="1">
        <v>45004.28125</v>
      </c>
      <c r="K138" s="1">
        <v>45004.344444444447</v>
      </c>
      <c r="L138" t="s">
        <v>16</v>
      </c>
      <c r="M138" t="s">
        <v>17</v>
      </c>
    </row>
    <row r="139" spans="1:13" x14ac:dyDescent="0.3">
      <c r="A139" t="s">
        <v>167</v>
      </c>
      <c r="B139" t="s">
        <v>40</v>
      </c>
      <c r="C139" t="s">
        <v>15</v>
      </c>
      <c r="D139">
        <v>4.1399999999999997</v>
      </c>
      <c r="E139">
        <v>65</v>
      </c>
      <c r="F139">
        <v>11.48</v>
      </c>
      <c r="G139">
        <v>81</v>
      </c>
      <c r="H139" s="1">
        <v>45004.284722222219</v>
      </c>
      <c r="I139" s="1">
        <v>45004.329861111109</v>
      </c>
      <c r="J139" s="1">
        <v>45004.305555555555</v>
      </c>
      <c r="K139" s="1">
        <v>45004.350694444445</v>
      </c>
      <c r="L139" t="s">
        <v>19</v>
      </c>
      <c r="M139" t="s">
        <v>20</v>
      </c>
    </row>
    <row r="140" spans="1:13" x14ac:dyDescent="0.3">
      <c r="A140" t="s">
        <v>168</v>
      </c>
      <c r="B140" t="s">
        <v>40</v>
      </c>
      <c r="C140" t="s">
        <v>23</v>
      </c>
      <c r="D140">
        <v>4.04</v>
      </c>
      <c r="E140">
        <v>45</v>
      </c>
      <c r="F140">
        <v>4.4800000000000004</v>
      </c>
      <c r="G140">
        <v>92</v>
      </c>
      <c r="H140" s="1">
        <v>45004.291666666664</v>
      </c>
      <c r="I140" s="1">
        <v>45004.322916666664</v>
      </c>
      <c r="J140" s="1">
        <v>45004.293055555558</v>
      </c>
      <c r="K140" s="1">
        <v>45004.324305555558</v>
      </c>
      <c r="L140" t="s">
        <v>16</v>
      </c>
      <c r="M140" t="s">
        <v>28</v>
      </c>
    </row>
    <row r="141" spans="1:13" x14ac:dyDescent="0.3">
      <c r="A141" t="s">
        <v>169</v>
      </c>
      <c r="B141" t="s">
        <v>34</v>
      </c>
      <c r="C141" t="s">
        <v>36</v>
      </c>
      <c r="D141">
        <v>2.58</v>
      </c>
      <c r="E141">
        <v>100</v>
      </c>
      <c r="F141">
        <v>8.5399999999999991</v>
      </c>
      <c r="G141">
        <v>85</v>
      </c>
      <c r="H141" s="1">
        <v>45004.298611111109</v>
      </c>
      <c r="I141" s="1">
        <v>45004.368055555555</v>
      </c>
      <c r="J141" s="1">
        <v>45004.300694444442</v>
      </c>
      <c r="K141" s="1">
        <v>45004.370138888888</v>
      </c>
      <c r="L141" t="s">
        <v>16</v>
      </c>
      <c r="M141" t="s">
        <v>17</v>
      </c>
    </row>
    <row r="142" spans="1:13" x14ac:dyDescent="0.3">
      <c r="A142" t="s">
        <v>170</v>
      </c>
      <c r="B142" t="s">
        <v>40</v>
      </c>
      <c r="C142" t="s">
        <v>36</v>
      </c>
      <c r="D142">
        <v>2.4500000000000002</v>
      </c>
      <c r="E142">
        <v>100</v>
      </c>
      <c r="F142">
        <v>6</v>
      </c>
      <c r="G142">
        <v>91</v>
      </c>
      <c r="H142" s="1">
        <v>45004.305555555555</v>
      </c>
      <c r="I142" s="1">
        <v>45004.375</v>
      </c>
      <c r="J142" s="1">
        <v>45004.302777777775</v>
      </c>
      <c r="K142" s="1">
        <v>45004.37222222222</v>
      </c>
      <c r="L142" t="s">
        <v>16</v>
      </c>
      <c r="M142" t="s">
        <v>20</v>
      </c>
    </row>
    <row r="143" spans="1:13" x14ac:dyDescent="0.3">
      <c r="A143" t="s">
        <v>171</v>
      </c>
      <c r="B143" t="s">
        <v>40</v>
      </c>
      <c r="C143" t="s">
        <v>27</v>
      </c>
      <c r="D143">
        <v>2.69</v>
      </c>
      <c r="E143">
        <v>110</v>
      </c>
      <c r="F143">
        <v>3.75</v>
      </c>
      <c r="G143">
        <v>93</v>
      </c>
      <c r="H143" s="1">
        <v>45004.3125</v>
      </c>
      <c r="I143" s="1">
        <v>45004.388888888891</v>
      </c>
      <c r="J143" s="1">
        <v>45004.311111111114</v>
      </c>
      <c r="K143" s="1">
        <v>45004.387499999997</v>
      </c>
      <c r="L143" t="s">
        <v>16</v>
      </c>
      <c r="M143" t="s">
        <v>20</v>
      </c>
    </row>
    <row r="144" spans="1:13" x14ac:dyDescent="0.3">
      <c r="A144" t="s">
        <v>172</v>
      </c>
      <c r="B144" t="s">
        <v>40</v>
      </c>
      <c r="C144" t="s">
        <v>23</v>
      </c>
      <c r="D144">
        <v>4.0199999999999996</v>
      </c>
      <c r="E144">
        <v>33</v>
      </c>
      <c r="F144">
        <v>4.28</v>
      </c>
      <c r="G144">
        <v>87</v>
      </c>
      <c r="H144" s="1">
        <v>45004.319444444445</v>
      </c>
      <c r="I144" s="1">
        <v>45004.342361111114</v>
      </c>
      <c r="J144" s="1">
        <v>45004.337500000001</v>
      </c>
      <c r="K144" s="1">
        <v>45004.36041666667</v>
      </c>
      <c r="L144" t="s">
        <v>19</v>
      </c>
      <c r="M144" t="s">
        <v>20</v>
      </c>
    </row>
    <row r="145" spans="1:13" x14ac:dyDescent="0.3">
      <c r="A145" t="s">
        <v>173</v>
      </c>
      <c r="B145" t="s">
        <v>40</v>
      </c>
      <c r="C145" t="s">
        <v>32</v>
      </c>
      <c r="D145">
        <v>2.1</v>
      </c>
      <c r="E145">
        <v>47</v>
      </c>
      <c r="F145">
        <v>6.24</v>
      </c>
      <c r="G145">
        <v>87</v>
      </c>
      <c r="H145" s="1">
        <v>45004.326388888891</v>
      </c>
      <c r="I145" s="1">
        <v>45004.359027777777</v>
      </c>
      <c r="J145" s="1">
        <v>45004.322916666664</v>
      </c>
      <c r="K145" s="1">
        <v>45004.355555555558</v>
      </c>
      <c r="L145" t="s">
        <v>16</v>
      </c>
      <c r="M145" t="s">
        <v>20</v>
      </c>
    </row>
    <row r="146" spans="1:13" x14ac:dyDescent="0.3">
      <c r="A146" t="s">
        <v>174</v>
      </c>
      <c r="B146" t="s">
        <v>34</v>
      </c>
      <c r="C146" t="s">
        <v>27</v>
      </c>
      <c r="D146">
        <v>4.0199999999999996</v>
      </c>
      <c r="E146">
        <v>22</v>
      </c>
      <c r="F146">
        <v>7.26</v>
      </c>
      <c r="G146">
        <v>97</v>
      </c>
      <c r="H146" s="1">
        <v>45004.333333333336</v>
      </c>
      <c r="I146" s="1">
        <v>45004.348611111112</v>
      </c>
      <c r="J146" s="1">
        <v>45004.336805555555</v>
      </c>
      <c r="K146" s="1">
        <v>45004.352083333331</v>
      </c>
      <c r="L146" t="s">
        <v>16</v>
      </c>
      <c r="M146" t="s">
        <v>17</v>
      </c>
    </row>
    <row r="147" spans="1:13" x14ac:dyDescent="0.3">
      <c r="A147" t="s">
        <v>175</v>
      </c>
      <c r="B147" t="s">
        <v>14</v>
      </c>
      <c r="C147" t="s">
        <v>15</v>
      </c>
      <c r="D147">
        <v>2.02</v>
      </c>
      <c r="E147">
        <v>62</v>
      </c>
      <c r="F147">
        <v>2.21</v>
      </c>
      <c r="G147">
        <v>97</v>
      </c>
      <c r="H147" s="1">
        <v>45004.340277777781</v>
      </c>
      <c r="I147" s="1">
        <v>45004.383333333331</v>
      </c>
      <c r="L147" t="s">
        <v>24</v>
      </c>
      <c r="M147" t="s">
        <v>20</v>
      </c>
    </row>
    <row r="148" spans="1:13" x14ac:dyDescent="0.3">
      <c r="A148" t="s">
        <v>176</v>
      </c>
      <c r="B148" t="s">
        <v>40</v>
      </c>
      <c r="C148" t="s">
        <v>27</v>
      </c>
      <c r="D148">
        <v>3.73</v>
      </c>
      <c r="E148">
        <v>29</v>
      </c>
      <c r="F148">
        <v>11.1</v>
      </c>
      <c r="G148">
        <v>88</v>
      </c>
      <c r="H148" s="1">
        <v>45004.347222222219</v>
      </c>
      <c r="I148" s="1">
        <v>45004.367361111108</v>
      </c>
      <c r="J148" s="1">
        <v>45004.367361111108</v>
      </c>
      <c r="K148" s="1">
        <v>45004.387499999997</v>
      </c>
      <c r="L148" t="s">
        <v>19</v>
      </c>
      <c r="M148" t="s">
        <v>20</v>
      </c>
    </row>
    <row r="149" spans="1:13" x14ac:dyDescent="0.3">
      <c r="A149" t="s">
        <v>177</v>
      </c>
      <c r="B149" t="s">
        <v>14</v>
      </c>
      <c r="C149" t="s">
        <v>27</v>
      </c>
      <c r="D149">
        <v>3.74</v>
      </c>
      <c r="E149">
        <v>39</v>
      </c>
      <c r="F149">
        <v>9.65</v>
      </c>
      <c r="G149">
        <v>87</v>
      </c>
      <c r="H149" s="1">
        <v>45004.354166666664</v>
      </c>
      <c r="I149" s="1">
        <v>45004.381249999999</v>
      </c>
      <c r="J149" s="1">
        <v>45004.354166666664</v>
      </c>
      <c r="K149" s="1">
        <v>45004.381249999999</v>
      </c>
      <c r="L149" t="s">
        <v>16</v>
      </c>
      <c r="M149" t="s">
        <v>28</v>
      </c>
    </row>
    <row r="150" spans="1:13" x14ac:dyDescent="0.3">
      <c r="A150" t="s">
        <v>178</v>
      </c>
      <c r="B150" t="s">
        <v>34</v>
      </c>
      <c r="C150" t="s">
        <v>27</v>
      </c>
      <c r="D150">
        <v>4.46</v>
      </c>
      <c r="E150">
        <v>100</v>
      </c>
      <c r="F150">
        <v>11.84</v>
      </c>
      <c r="G150">
        <v>95</v>
      </c>
      <c r="H150" s="1">
        <v>45004.361111111109</v>
      </c>
      <c r="I150" s="1">
        <v>45004.430555555555</v>
      </c>
      <c r="L150" t="s">
        <v>24</v>
      </c>
      <c r="M150" t="s">
        <v>20</v>
      </c>
    </row>
    <row r="151" spans="1:13" x14ac:dyDescent="0.3">
      <c r="A151" t="s">
        <v>179</v>
      </c>
      <c r="B151" t="s">
        <v>40</v>
      </c>
      <c r="C151" t="s">
        <v>15</v>
      </c>
      <c r="D151">
        <v>4.97</v>
      </c>
      <c r="E151">
        <v>53</v>
      </c>
      <c r="F151">
        <v>12.4</v>
      </c>
      <c r="G151">
        <v>86</v>
      </c>
      <c r="H151" s="1">
        <v>45004.368055555555</v>
      </c>
      <c r="I151" s="1">
        <v>45004.404861111114</v>
      </c>
      <c r="J151" s="1">
        <v>45004.379166666666</v>
      </c>
      <c r="K151" s="1">
        <v>45004.415972222225</v>
      </c>
      <c r="L151" t="s">
        <v>19</v>
      </c>
      <c r="M151" t="s">
        <v>20</v>
      </c>
    </row>
    <row r="152" spans="1:13" x14ac:dyDescent="0.3">
      <c r="A152" t="s">
        <v>180</v>
      </c>
      <c r="B152" t="s">
        <v>30</v>
      </c>
      <c r="C152" t="s">
        <v>23</v>
      </c>
      <c r="D152">
        <v>4.41</v>
      </c>
      <c r="E152">
        <v>20</v>
      </c>
      <c r="F152">
        <v>13.63</v>
      </c>
      <c r="G152">
        <v>85</v>
      </c>
      <c r="H152" s="1">
        <v>45004.375</v>
      </c>
      <c r="I152" s="1">
        <v>45004.388888888891</v>
      </c>
      <c r="L152" t="s">
        <v>24</v>
      </c>
      <c r="M152" t="s">
        <v>20</v>
      </c>
    </row>
    <row r="153" spans="1:13" x14ac:dyDescent="0.3">
      <c r="A153" t="s">
        <v>181</v>
      </c>
      <c r="B153" t="s">
        <v>34</v>
      </c>
      <c r="C153" t="s">
        <v>32</v>
      </c>
      <c r="D153">
        <v>1.82</v>
      </c>
      <c r="E153">
        <v>106</v>
      </c>
      <c r="F153">
        <v>9.32</v>
      </c>
      <c r="G153">
        <v>96</v>
      </c>
      <c r="H153" s="1">
        <v>45004.381944444445</v>
      </c>
      <c r="I153" s="1">
        <v>45004.455555555556</v>
      </c>
      <c r="J153" s="1">
        <v>45004.384722222225</v>
      </c>
      <c r="K153" s="1">
        <v>45004.458333333336</v>
      </c>
      <c r="L153" t="s">
        <v>16</v>
      </c>
      <c r="M153" t="s">
        <v>17</v>
      </c>
    </row>
    <row r="154" spans="1:13" x14ac:dyDescent="0.3">
      <c r="A154" t="s">
        <v>182</v>
      </c>
      <c r="B154" t="s">
        <v>34</v>
      </c>
      <c r="C154" t="s">
        <v>27</v>
      </c>
      <c r="D154">
        <v>1.73</v>
      </c>
      <c r="E154">
        <v>66</v>
      </c>
      <c r="F154">
        <v>5.45</v>
      </c>
      <c r="G154">
        <v>90</v>
      </c>
      <c r="H154" s="1">
        <v>45004.388888888891</v>
      </c>
      <c r="I154" s="1">
        <v>45004.43472222222</v>
      </c>
      <c r="J154" s="1">
        <v>45004.388888888891</v>
      </c>
      <c r="K154" s="1">
        <v>45004.43472222222</v>
      </c>
      <c r="L154" t="s">
        <v>16</v>
      </c>
      <c r="M154" t="s">
        <v>28</v>
      </c>
    </row>
    <row r="155" spans="1:13" x14ac:dyDescent="0.3">
      <c r="A155" t="s">
        <v>183</v>
      </c>
      <c r="B155" t="s">
        <v>30</v>
      </c>
      <c r="C155" t="s">
        <v>15</v>
      </c>
      <c r="D155">
        <v>2.11</v>
      </c>
      <c r="E155">
        <v>111</v>
      </c>
      <c r="F155">
        <v>7.67</v>
      </c>
      <c r="G155">
        <v>80</v>
      </c>
      <c r="H155" s="1">
        <v>45004.395833333336</v>
      </c>
      <c r="I155" s="1">
        <v>45004.472916666666</v>
      </c>
      <c r="J155" s="1">
        <v>45004.395138888889</v>
      </c>
      <c r="K155" s="1">
        <v>45004.472222222219</v>
      </c>
      <c r="L155" t="s">
        <v>16</v>
      </c>
      <c r="M155" t="s">
        <v>20</v>
      </c>
    </row>
    <row r="156" spans="1:13" x14ac:dyDescent="0.3">
      <c r="A156" t="s">
        <v>184</v>
      </c>
      <c r="B156" t="s">
        <v>40</v>
      </c>
      <c r="C156" t="s">
        <v>36</v>
      </c>
      <c r="D156">
        <v>3.57</v>
      </c>
      <c r="E156">
        <v>40</v>
      </c>
      <c r="F156">
        <v>9.8699999999999992</v>
      </c>
      <c r="G156">
        <v>82</v>
      </c>
      <c r="H156" s="1">
        <v>45004.402777777781</v>
      </c>
      <c r="I156" s="1">
        <v>45004.430555555555</v>
      </c>
      <c r="J156" s="1">
        <v>45004.40347222222</v>
      </c>
      <c r="K156" s="1">
        <v>45004.431250000001</v>
      </c>
      <c r="L156" t="s">
        <v>16</v>
      </c>
      <c r="M156" t="s">
        <v>17</v>
      </c>
    </row>
    <row r="157" spans="1:13" x14ac:dyDescent="0.3">
      <c r="A157" t="s">
        <v>185</v>
      </c>
      <c r="B157" t="s">
        <v>22</v>
      </c>
      <c r="C157" t="s">
        <v>32</v>
      </c>
      <c r="D157">
        <v>4.1399999999999997</v>
      </c>
      <c r="E157">
        <v>69</v>
      </c>
      <c r="F157">
        <v>14.55</v>
      </c>
      <c r="G157">
        <v>94</v>
      </c>
      <c r="H157" s="1">
        <v>45004.409722222219</v>
      </c>
      <c r="I157" s="1">
        <v>45004.457638888889</v>
      </c>
      <c r="L157" t="s">
        <v>24</v>
      </c>
      <c r="M157" t="s">
        <v>20</v>
      </c>
    </row>
    <row r="158" spans="1:13" x14ac:dyDescent="0.3">
      <c r="A158" t="s">
        <v>186</v>
      </c>
      <c r="B158" t="s">
        <v>40</v>
      </c>
      <c r="C158" t="s">
        <v>15</v>
      </c>
      <c r="D158">
        <v>1.01</v>
      </c>
      <c r="E158">
        <v>59</v>
      </c>
      <c r="F158">
        <v>8.16</v>
      </c>
      <c r="G158">
        <v>91</v>
      </c>
      <c r="H158" s="1">
        <v>45004.416666666664</v>
      </c>
      <c r="I158" s="1">
        <v>45004.457638888889</v>
      </c>
      <c r="J158" s="1">
        <v>45004.420138888891</v>
      </c>
      <c r="K158" s="1">
        <v>45004.461111111108</v>
      </c>
      <c r="L158" t="s">
        <v>16</v>
      </c>
      <c r="M158" t="s">
        <v>17</v>
      </c>
    </row>
    <row r="159" spans="1:13" x14ac:dyDescent="0.3">
      <c r="A159" t="s">
        <v>187</v>
      </c>
      <c r="B159" t="s">
        <v>34</v>
      </c>
      <c r="C159" t="s">
        <v>36</v>
      </c>
      <c r="D159">
        <v>3.55</v>
      </c>
      <c r="E159">
        <v>113</v>
      </c>
      <c r="F159">
        <v>7.69</v>
      </c>
      <c r="G159">
        <v>80</v>
      </c>
      <c r="H159" s="1">
        <v>45004.423611111109</v>
      </c>
      <c r="I159" s="1">
        <v>45004.502083333333</v>
      </c>
      <c r="J159" s="1">
        <v>45004.423611111109</v>
      </c>
      <c r="K159" s="1">
        <v>45004.502083333333</v>
      </c>
      <c r="L159" t="s">
        <v>16</v>
      </c>
      <c r="M159" t="s">
        <v>28</v>
      </c>
    </row>
    <row r="160" spans="1:13" x14ac:dyDescent="0.3">
      <c r="A160" t="s">
        <v>188</v>
      </c>
      <c r="B160" t="s">
        <v>30</v>
      </c>
      <c r="C160" t="s">
        <v>32</v>
      </c>
      <c r="D160">
        <v>1.1499999999999999</v>
      </c>
      <c r="E160">
        <v>46</v>
      </c>
      <c r="F160">
        <v>3.01</v>
      </c>
      <c r="G160">
        <v>89</v>
      </c>
      <c r="H160" s="1">
        <v>45004.430555555555</v>
      </c>
      <c r="I160" s="1">
        <v>45004.462500000001</v>
      </c>
      <c r="J160" s="1">
        <v>45004.431944444441</v>
      </c>
      <c r="K160" s="1">
        <v>45004.463888888888</v>
      </c>
      <c r="L160" t="s">
        <v>16</v>
      </c>
      <c r="M160" t="s">
        <v>28</v>
      </c>
    </row>
    <row r="161" spans="1:13" x14ac:dyDescent="0.3">
      <c r="A161" t="s">
        <v>189</v>
      </c>
      <c r="B161" t="s">
        <v>14</v>
      </c>
      <c r="C161" t="s">
        <v>32</v>
      </c>
      <c r="D161">
        <v>4.25</v>
      </c>
      <c r="E161">
        <v>118</v>
      </c>
      <c r="F161">
        <v>9.57</v>
      </c>
      <c r="G161">
        <v>87</v>
      </c>
      <c r="H161" s="1">
        <v>45004.4375</v>
      </c>
      <c r="I161" s="1">
        <v>45004.519444444442</v>
      </c>
      <c r="J161" s="1">
        <v>45004.44027777778</v>
      </c>
      <c r="K161" s="1">
        <v>45004.522222222222</v>
      </c>
      <c r="L161" t="s">
        <v>16</v>
      </c>
      <c r="M161" t="s">
        <v>17</v>
      </c>
    </row>
    <row r="162" spans="1:13" x14ac:dyDescent="0.3">
      <c r="A162" t="s">
        <v>190</v>
      </c>
      <c r="B162" t="s">
        <v>22</v>
      </c>
      <c r="C162" t="s">
        <v>32</v>
      </c>
      <c r="D162">
        <v>3.8</v>
      </c>
      <c r="E162">
        <v>54</v>
      </c>
      <c r="F162">
        <v>10.3</v>
      </c>
      <c r="G162">
        <v>89</v>
      </c>
      <c r="H162" s="1">
        <v>45004.444444444445</v>
      </c>
      <c r="I162" s="1">
        <v>45004.481944444444</v>
      </c>
      <c r="J162" s="1">
        <v>45004.444444444445</v>
      </c>
      <c r="K162" s="1">
        <v>45004.481944444444</v>
      </c>
      <c r="L162" t="s">
        <v>16</v>
      </c>
      <c r="M162" t="s">
        <v>17</v>
      </c>
    </row>
    <row r="163" spans="1:13" x14ac:dyDescent="0.3">
      <c r="A163" t="s">
        <v>191</v>
      </c>
      <c r="B163" t="s">
        <v>14</v>
      </c>
      <c r="C163" t="s">
        <v>23</v>
      </c>
      <c r="D163">
        <v>2.25</v>
      </c>
      <c r="E163">
        <v>58</v>
      </c>
      <c r="F163">
        <v>11.7</v>
      </c>
      <c r="G163">
        <v>92</v>
      </c>
      <c r="H163" s="1">
        <v>45004.451388888891</v>
      </c>
      <c r="I163" s="1">
        <v>45004.491666666669</v>
      </c>
      <c r="J163" s="1">
        <v>45004.451388888891</v>
      </c>
      <c r="K163" s="1">
        <v>45004.491666666669</v>
      </c>
      <c r="L163" t="s">
        <v>16</v>
      </c>
      <c r="M163" t="s">
        <v>17</v>
      </c>
    </row>
    <row r="164" spans="1:13" x14ac:dyDescent="0.3">
      <c r="A164" t="s">
        <v>192</v>
      </c>
      <c r="B164" t="s">
        <v>14</v>
      </c>
      <c r="C164" t="s">
        <v>32</v>
      </c>
      <c r="D164">
        <v>4.4000000000000004</v>
      </c>
      <c r="E164">
        <v>43</v>
      </c>
      <c r="F164">
        <v>10.4</v>
      </c>
      <c r="G164">
        <v>80</v>
      </c>
      <c r="H164" s="1">
        <v>45004.458333333336</v>
      </c>
      <c r="I164" s="1">
        <v>45004.488194444442</v>
      </c>
      <c r="J164" s="1">
        <v>45004.457638888889</v>
      </c>
      <c r="K164" s="1">
        <v>45004.487500000003</v>
      </c>
      <c r="L164" t="s">
        <v>16</v>
      </c>
      <c r="M164" t="s">
        <v>20</v>
      </c>
    </row>
    <row r="165" spans="1:13" x14ac:dyDescent="0.3">
      <c r="A165" t="s">
        <v>193</v>
      </c>
      <c r="B165" t="s">
        <v>34</v>
      </c>
      <c r="C165" t="s">
        <v>23</v>
      </c>
      <c r="D165">
        <v>4.3499999999999996</v>
      </c>
      <c r="E165">
        <v>56</v>
      </c>
      <c r="F165">
        <v>4.22</v>
      </c>
      <c r="G165">
        <v>97</v>
      </c>
      <c r="H165" s="1">
        <v>45004.465277777781</v>
      </c>
      <c r="I165" s="1">
        <v>45004.504166666666</v>
      </c>
      <c r="J165" s="1">
        <v>45004.472222222219</v>
      </c>
      <c r="K165" s="1">
        <v>45004.511111111111</v>
      </c>
      <c r="L165" t="s">
        <v>19</v>
      </c>
      <c r="M165" t="s">
        <v>20</v>
      </c>
    </row>
    <row r="166" spans="1:13" x14ac:dyDescent="0.3">
      <c r="A166" t="s">
        <v>194</v>
      </c>
      <c r="B166" t="s">
        <v>22</v>
      </c>
      <c r="C166" t="s">
        <v>32</v>
      </c>
      <c r="D166">
        <v>3.28</v>
      </c>
      <c r="E166">
        <v>29</v>
      </c>
      <c r="F166">
        <v>7.32</v>
      </c>
      <c r="G166">
        <v>82</v>
      </c>
      <c r="H166" s="1">
        <v>45004.472222222219</v>
      </c>
      <c r="I166" s="1">
        <v>45004.492361111108</v>
      </c>
      <c r="J166" s="1">
        <v>45004.474999999999</v>
      </c>
      <c r="K166" s="1">
        <v>45004.495138888888</v>
      </c>
      <c r="L166" t="s">
        <v>16</v>
      </c>
      <c r="M166" t="s">
        <v>28</v>
      </c>
    </row>
    <row r="167" spans="1:13" x14ac:dyDescent="0.3">
      <c r="A167" t="s">
        <v>195</v>
      </c>
      <c r="B167" t="s">
        <v>22</v>
      </c>
      <c r="C167" t="s">
        <v>23</v>
      </c>
      <c r="D167">
        <v>3.71</v>
      </c>
      <c r="E167">
        <v>61</v>
      </c>
      <c r="F167">
        <v>11.52</v>
      </c>
      <c r="G167">
        <v>94</v>
      </c>
      <c r="H167" s="1">
        <v>45004.479166666664</v>
      </c>
      <c r="I167" s="1">
        <v>45004.521527777775</v>
      </c>
      <c r="L167" t="s">
        <v>24</v>
      </c>
      <c r="M167" t="s">
        <v>20</v>
      </c>
    </row>
    <row r="168" spans="1:13" x14ac:dyDescent="0.3">
      <c r="A168" t="s">
        <v>196</v>
      </c>
      <c r="B168" t="s">
        <v>14</v>
      </c>
      <c r="C168" t="s">
        <v>15</v>
      </c>
      <c r="D168">
        <v>1.29</v>
      </c>
      <c r="E168">
        <v>35</v>
      </c>
      <c r="F168">
        <v>7.2</v>
      </c>
      <c r="G168">
        <v>94</v>
      </c>
      <c r="H168" s="1">
        <v>45004.486111111109</v>
      </c>
      <c r="I168" s="1">
        <v>45004.510416666664</v>
      </c>
      <c r="J168" s="1">
        <v>45004.489583333336</v>
      </c>
      <c r="K168" s="1">
        <v>45004.513888888891</v>
      </c>
      <c r="L168" t="s">
        <v>16</v>
      </c>
      <c r="M168" t="s">
        <v>17</v>
      </c>
    </row>
    <row r="169" spans="1:13" x14ac:dyDescent="0.3">
      <c r="A169" t="s">
        <v>197</v>
      </c>
      <c r="B169" t="s">
        <v>40</v>
      </c>
      <c r="C169" t="s">
        <v>15</v>
      </c>
      <c r="D169">
        <v>4.51</v>
      </c>
      <c r="E169">
        <v>37</v>
      </c>
      <c r="F169">
        <v>12.54</v>
      </c>
      <c r="G169">
        <v>99</v>
      </c>
      <c r="H169" s="1">
        <v>45004.493055555555</v>
      </c>
      <c r="I169" s="1">
        <v>45004.518750000003</v>
      </c>
      <c r="J169" s="1">
        <v>45004.509722222225</v>
      </c>
      <c r="K169" s="1">
        <v>45004.535416666666</v>
      </c>
      <c r="L169" t="s">
        <v>19</v>
      </c>
      <c r="M169" t="s">
        <v>20</v>
      </c>
    </row>
    <row r="170" spans="1:13" x14ac:dyDescent="0.3">
      <c r="A170" t="s">
        <v>198</v>
      </c>
      <c r="B170" t="s">
        <v>40</v>
      </c>
      <c r="C170" t="s">
        <v>27</v>
      </c>
      <c r="D170">
        <v>1.36</v>
      </c>
      <c r="E170">
        <v>23</v>
      </c>
      <c r="F170">
        <v>7.11</v>
      </c>
      <c r="G170">
        <v>92</v>
      </c>
      <c r="H170" s="1">
        <v>45004.5</v>
      </c>
      <c r="I170" s="1">
        <v>45004.515972222223</v>
      </c>
      <c r="J170" s="1">
        <v>45004.5</v>
      </c>
      <c r="K170" s="1">
        <v>45004.515972222223</v>
      </c>
      <c r="L170" t="s">
        <v>16</v>
      </c>
      <c r="M170" t="s">
        <v>28</v>
      </c>
    </row>
    <row r="171" spans="1:13" x14ac:dyDescent="0.3">
      <c r="A171" t="s">
        <v>199</v>
      </c>
      <c r="B171" t="s">
        <v>40</v>
      </c>
      <c r="C171" t="s">
        <v>32</v>
      </c>
      <c r="D171">
        <v>3.54</v>
      </c>
      <c r="E171">
        <v>102</v>
      </c>
      <c r="F171">
        <v>2.14</v>
      </c>
      <c r="G171">
        <v>99</v>
      </c>
      <c r="H171" s="1">
        <v>45004.506944444445</v>
      </c>
      <c r="I171" s="1">
        <v>45004.577777777777</v>
      </c>
      <c r="J171" s="1">
        <v>45004.504861111112</v>
      </c>
      <c r="K171" s="1">
        <v>45004.575694444444</v>
      </c>
      <c r="L171" t="s">
        <v>16</v>
      </c>
      <c r="M171" t="s">
        <v>20</v>
      </c>
    </row>
    <row r="172" spans="1:13" x14ac:dyDescent="0.3">
      <c r="A172" t="s">
        <v>200</v>
      </c>
      <c r="B172" t="s">
        <v>34</v>
      </c>
      <c r="C172" t="s">
        <v>36</v>
      </c>
      <c r="D172">
        <v>2.58</v>
      </c>
      <c r="E172">
        <v>72</v>
      </c>
      <c r="F172">
        <v>13.69</v>
      </c>
      <c r="G172">
        <v>83</v>
      </c>
      <c r="H172" s="1">
        <v>45004.513888888891</v>
      </c>
      <c r="I172" s="1">
        <v>45004.563888888886</v>
      </c>
      <c r="J172" s="1">
        <v>45004.511111111111</v>
      </c>
      <c r="K172" s="1">
        <v>45004.561111111114</v>
      </c>
      <c r="L172" t="s">
        <v>16</v>
      </c>
      <c r="M172" t="s">
        <v>20</v>
      </c>
    </row>
    <row r="173" spans="1:13" x14ac:dyDescent="0.3">
      <c r="A173" t="s">
        <v>201</v>
      </c>
      <c r="B173" t="s">
        <v>30</v>
      </c>
      <c r="C173" t="s">
        <v>27</v>
      </c>
      <c r="D173">
        <v>3.08</v>
      </c>
      <c r="E173">
        <v>81</v>
      </c>
      <c r="F173">
        <v>11.61</v>
      </c>
      <c r="G173">
        <v>80</v>
      </c>
      <c r="H173" s="1">
        <v>45004.520833333336</v>
      </c>
      <c r="I173" s="1">
        <v>45004.57708333333</v>
      </c>
      <c r="L173" t="s">
        <v>24</v>
      </c>
      <c r="M173" t="s">
        <v>20</v>
      </c>
    </row>
    <row r="174" spans="1:13" x14ac:dyDescent="0.3">
      <c r="A174" t="s">
        <v>202</v>
      </c>
      <c r="B174" t="s">
        <v>30</v>
      </c>
      <c r="C174" t="s">
        <v>23</v>
      </c>
      <c r="D174">
        <v>1.85</v>
      </c>
      <c r="E174">
        <v>64</v>
      </c>
      <c r="F174">
        <v>12.14</v>
      </c>
      <c r="G174">
        <v>82</v>
      </c>
      <c r="H174" s="1">
        <v>45004.527777777781</v>
      </c>
      <c r="I174" s="1">
        <v>45004.572222222225</v>
      </c>
      <c r="J174" s="1">
        <v>45004.529861111114</v>
      </c>
      <c r="K174" s="1">
        <v>45004.574305555558</v>
      </c>
      <c r="L174" t="s">
        <v>16</v>
      </c>
      <c r="M174" t="s">
        <v>17</v>
      </c>
    </row>
    <row r="175" spans="1:13" x14ac:dyDescent="0.3">
      <c r="A175" t="s">
        <v>203</v>
      </c>
      <c r="B175" t="s">
        <v>14</v>
      </c>
      <c r="C175" t="s">
        <v>23</v>
      </c>
      <c r="D175">
        <v>2.44</v>
      </c>
      <c r="E175">
        <v>113</v>
      </c>
      <c r="F175">
        <v>12.49</v>
      </c>
      <c r="G175">
        <v>80</v>
      </c>
      <c r="H175" s="1">
        <v>45004.534722222219</v>
      </c>
      <c r="I175" s="1">
        <v>45004.613194444442</v>
      </c>
      <c r="J175" s="1">
        <v>45004.554166666669</v>
      </c>
      <c r="K175" s="1">
        <v>45004.632638888892</v>
      </c>
      <c r="L175" t="s">
        <v>19</v>
      </c>
      <c r="M175" t="s">
        <v>20</v>
      </c>
    </row>
    <row r="176" spans="1:13" x14ac:dyDescent="0.3">
      <c r="A176" t="s">
        <v>204</v>
      </c>
      <c r="B176" t="s">
        <v>22</v>
      </c>
      <c r="C176" t="s">
        <v>27</v>
      </c>
      <c r="D176">
        <v>4.82</v>
      </c>
      <c r="E176">
        <v>40</v>
      </c>
      <c r="F176">
        <v>8.16</v>
      </c>
      <c r="G176">
        <v>92</v>
      </c>
      <c r="H176" s="1">
        <v>45004.541666666664</v>
      </c>
      <c r="I176" s="1">
        <v>45004.569444444445</v>
      </c>
      <c r="L176" t="s">
        <v>24</v>
      </c>
      <c r="M176" t="s">
        <v>20</v>
      </c>
    </row>
    <row r="177" spans="1:13" x14ac:dyDescent="0.3">
      <c r="A177" t="s">
        <v>205</v>
      </c>
      <c r="B177" t="s">
        <v>34</v>
      </c>
      <c r="C177" t="s">
        <v>32</v>
      </c>
      <c r="D177">
        <v>2.39</v>
      </c>
      <c r="E177">
        <v>100</v>
      </c>
      <c r="F177">
        <v>2.62</v>
      </c>
      <c r="G177">
        <v>95</v>
      </c>
      <c r="H177" s="1">
        <v>45004.548611111109</v>
      </c>
      <c r="I177" s="1">
        <v>45004.618055555555</v>
      </c>
      <c r="J177" s="1">
        <v>45004.55</v>
      </c>
      <c r="K177" s="1">
        <v>45004.619444444441</v>
      </c>
      <c r="L177" t="s">
        <v>16</v>
      </c>
      <c r="M177" t="s">
        <v>28</v>
      </c>
    </row>
    <row r="178" spans="1:13" x14ac:dyDescent="0.3">
      <c r="A178" t="s">
        <v>206</v>
      </c>
      <c r="B178" t="s">
        <v>30</v>
      </c>
      <c r="C178" t="s">
        <v>36</v>
      </c>
      <c r="D178">
        <v>3.51</v>
      </c>
      <c r="E178">
        <v>97</v>
      </c>
      <c r="F178">
        <v>9.08</v>
      </c>
      <c r="G178">
        <v>97</v>
      </c>
      <c r="H178" s="1">
        <v>45004.555555555555</v>
      </c>
      <c r="I178" s="1">
        <v>45004.622916666667</v>
      </c>
      <c r="J178" s="1">
        <v>45004.556944444441</v>
      </c>
      <c r="K178" s="1">
        <v>45004.624305555553</v>
      </c>
      <c r="L178" t="s">
        <v>16</v>
      </c>
      <c r="M178" t="s">
        <v>17</v>
      </c>
    </row>
    <row r="179" spans="1:13" x14ac:dyDescent="0.3">
      <c r="A179" t="s">
        <v>207</v>
      </c>
      <c r="B179" t="s">
        <v>14</v>
      </c>
      <c r="C179" t="s">
        <v>36</v>
      </c>
      <c r="D179">
        <v>4.43</v>
      </c>
      <c r="E179">
        <v>82</v>
      </c>
      <c r="F179">
        <v>10.58</v>
      </c>
      <c r="G179">
        <v>82</v>
      </c>
      <c r="H179" s="1">
        <v>45004.5625</v>
      </c>
      <c r="I179" s="1">
        <v>45004.619444444441</v>
      </c>
      <c r="J179" s="1">
        <v>45004.559027777781</v>
      </c>
      <c r="K179" s="1">
        <v>45004.615972222222</v>
      </c>
      <c r="L179" t="s">
        <v>16</v>
      </c>
      <c r="M179" t="s">
        <v>20</v>
      </c>
    </row>
    <row r="180" spans="1:13" x14ac:dyDescent="0.3">
      <c r="A180" t="s">
        <v>208</v>
      </c>
      <c r="B180" t="s">
        <v>40</v>
      </c>
      <c r="C180" t="s">
        <v>27</v>
      </c>
      <c r="D180">
        <v>1.58</v>
      </c>
      <c r="E180">
        <v>95</v>
      </c>
      <c r="F180">
        <v>14.17</v>
      </c>
      <c r="G180">
        <v>80</v>
      </c>
      <c r="H180" s="1">
        <v>45004.569444444445</v>
      </c>
      <c r="I180" s="1">
        <v>45004.635416666664</v>
      </c>
      <c r="J180" s="1">
        <v>45004.581944444442</v>
      </c>
      <c r="K180" s="1">
        <v>45004.647916666669</v>
      </c>
      <c r="L180" t="s">
        <v>19</v>
      </c>
      <c r="M180" t="s">
        <v>20</v>
      </c>
    </row>
    <row r="181" spans="1:13" x14ac:dyDescent="0.3">
      <c r="A181" t="s">
        <v>209</v>
      </c>
      <c r="B181" t="s">
        <v>30</v>
      </c>
      <c r="C181" t="s">
        <v>23</v>
      </c>
      <c r="D181">
        <v>3.46</v>
      </c>
      <c r="E181">
        <v>69</v>
      </c>
      <c r="F181">
        <v>3.76</v>
      </c>
      <c r="G181">
        <v>84</v>
      </c>
      <c r="H181" s="1">
        <v>45004.576388888891</v>
      </c>
      <c r="I181" s="1">
        <v>45004.624305555553</v>
      </c>
      <c r="J181" s="1">
        <v>45004.574999999997</v>
      </c>
      <c r="K181" s="1">
        <v>45004.622916666667</v>
      </c>
      <c r="L181" t="s">
        <v>16</v>
      </c>
      <c r="M181" t="s">
        <v>20</v>
      </c>
    </row>
    <row r="182" spans="1:13" x14ac:dyDescent="0.3">
      <c r="A182" t="s">
        <v>210</v>
      </c>
      <c r="B182" t="s">
        <v>30</v>
      </c>
      <c r="C182" t="s">
        <v>36</v>
      </c>
      <c r="D182">
        <v>3.55</v>
      </c>
      <c r="E182">
        <v>95</v>
      </c>
      <c r="F182">
        <v>6.4</v>
      </c>
      <c r="G182">
        <v>89</v>
      </c>
      <c r="H182" s="1">
        <v>45004.583333333336</v>
      </c>
      <c r="I182" s="1">
        <v>45004.649305555555</v>
      </c>
      <c r="J182" s="1">
        <v>45004.582638888889</v>
      </c>
      <c r="K182" s="1">
        <v>45004.648611111108</v>
      </c>
      <c r="L182" t="s">
        <v>16</v>
      </c>
      <c r="M182" t="s">
        <v>20</v>
      </c>
    </row>
    <row r="183" spans="1:13" x14ac:dyDescent="0.3">
      <c r="A183" t="s">
        <v>211</v>
      </c>
      <c r="B183" t="s">
        <v>14</v>
      </c>
      <c r="C183" t="s">
        <v>32</v>
      </c>
      <c r="D183">
        <v>1.49</v>
      </c>
      <c r="E183">
        <v>79</v>
      </c>
      <c r="F183">
        <v>6.22</v>
      </c>
      <c r="G183">
        <v>83</v>
      </c>
      <c r="H183" s="1">
        <v>45004.590277777781</v>
      </c>
      <c r="I183" s="1">
        <v>45004.645138888889</v>
      </c>
      <c r="L183" t="s">
        <v>24</v>
      </c>
      <c r="M183" t="s">
        <v>20</v>
      </c>
    </row>
    <row r="184" spans="1:13" x14ac:dyDescent="0.3">
      <c r="A184" t="s">
        <v>212</v>
      </c>
      <c r="B184" t="s">
        <v>22</v>
      </c>
      <c r="C184" t="s">
        <v>36</v>
      </c>
      <c r="D184">
        <v>4.1100000000000003</v>
      </c>
      <c r="E184">
        <v>106</v>
      </c>
      <c r="F184">
        <v>12.25</v>
      </c>
      <c r="G184">
        <v>80</v>
      </c>
      <c r="H184" s="1">
        <v>45004.597222222219</v>
      </c>
      <c r="I184" s="1">
        <v>45004.67083333333</v>
      </c>
      <c r="J184" s="1">
        <v>45004.595138888886</v>
      </c>
      <c r="K184" s="1">
        <v>45004.668749999997</v>
      </c>
      <c r="L184" t="s">
        <v>16</v>
      </c>
      <c r="M184" t="s">
        <v>20</v>
      </c>
    </row>
    <row r="185" spans="1:13" x14ac:dyDescent="0.3">
      <c r="A185" t="s">
        <v>213</v>
      </c>
      <c r="B185" t="s">
        <v>22</v>
      </c>
      <c r="C185" t="s">
        <v>23</v>
      </c>
      <c r="D185">
        <v>3.52</v>
      </c>
      <c r="E185">
        <v>89</v>
      </c>
      <c r="F185">
        <v>9.6999999999999993</v>
      </c>
      <c r="G185">
        <v>99</v>
      </c>
      <c r="H185" s="1">
        <v>45004.604166666664</v>
      </c>
      <c r="I185" s="1">
        <v>45004.665972222225</v>
      </c>
      <c r="J185" s="1">
        <v>45004.607638888891</v>
      </c>
      <c r="K185" s="1">
        <v>45004.669444444444</v>
      </c>
      <c r="L185" t="s">
        <v>16</v>
      </c>
      <c r="M185" t="s">
        <v>17</v>
      </c>
    </row>
    <row r="186" spans="1:13" x14ac:dyDescent="0.3">
      <c r="A186" t="s">
        <v>214</v>
      </c>
      <c r="B186" t="s">
        <v>22</v>
      </c>
      <c r="C186" t="s">
        <v>15</v>
      </c>
      <c r="D186">
        <v>2</v>
      </c>
      <c r="E186">
        <v>50</v>
      </c>
      <c r="F186">
        <v>6.07</v>
      </c>
      <c r="G186">
        <v>85</v>
      </c>
      <c r="H186" s="1">
        <v>45004.611111111109</v>
      </c>
      <c r="I186" s="1">
        <v>45004.645833333336</v>
      </c>
      <c r="J186" s="1">
        <v>45004.611805555556</v>
      </c>
      <c r="K186" s="1">
        <v>45004.646527777775</v>
      </c>
      <c r="L186" t="s">
        <v>16</v>
      </c>
      <c r="M186" t="s">
        <v>28</v>
      </c>
    </row>
    <row r="187" spans="1:13" x14ac:dyDescent="0.3">
      <c r="A187" t="s">
        <v>215</v>
      </c>
      <c r="B187" t="s">
        <v>14</v>
      </c>
      <c r="C187" t="s">
        <v>32</v>
      </c>
      <c r="D187">
        <v>1.25</v>
      </c>
      <c r="E187">
        <v>70</v>
      </c>
      <c r="F187">
        <v>12.13</v>
      </c>
      <c r="G187">
        <v>82</v>
      </c>
      <c r="H187" s="1">
        <v>45004.618055555555</v>
      </c>
      <c r="I187" s="1">
        <v>45004.666666666664</v>
      </c>
      <c r="J187" s="1">
        <v>45004.615277777775</v>
      </c>
      <c r="K187" s="1">
        <v>45004.663888888892</v>
      </c>
      <c r="L187" t="s">
        <v>16</v>
      </c>
      <c r="M187" t="s">
        <v>20</v>
      </c>
    </row>
    <row r="188" spans="1:13" x14ac:dyDescent="0.3">
      <c r="A188" t="s">
        <v>216</v>
      </c>
      <c r="B188" t="s">
        <v>22</v>
      </c>
      <c r="C188" t="s">
        <v>23</v>
      </c>
      <c r="D188">
        <v>1.27</v>
      </c>
      <c r="E188">
        <v>110</v>
      </c>
      <c r="F188">
        <v>10.29</v>
      </c>
      <c r="G188">
        <v>80</v>
      </c>
      <c r="H188" s="1">
        <v>45004.625</v>
      </c>
      <c r="I188" s="1">
        <v>45004.701388888891</v>
      </c>
      <c r="L188" t="s">
        <v>24</v>
      </c>
      <c r="M188" t="s">
        <v>20</v>
      </c>
    </row>
    <row r="189" spans="1:13" x14ac:dyDescent="0.3">
      <c r="A189" t="s">
        <v>217</v>
      </c>
      <c r="B189" t="s">
        <v>30</v>
      </c>
      <c r="C189" t="s">
        <v>15</v>
      </c>
      <c r="D189">
        <v>2.61</v>
      </c>
      <c r="E189">
        <v>90</v>
      </c>
      <c r="F189">
        <v>9.18</v>
      </c>
      <c r="G189">
        <v>83</v>
      </c>
      <c r="H189" s="1">
        <v>45004.631944444445</v>
      </c>
      <c r="I189" s="1">
        <v>45004.694444444445</v>
      </c>
      <c r="J189" s="1">
        <v>45004.631249999999</v>
      </c>
      <c r="K189" s="1">
        <v>45004.693749999999</v>
      </c>
      <c r="L189" t="s">
        <v>16</v>
      </c>
      <c r="M189" t="s">
        <v>20</v>
      </c>
    </row>
    <row r="190" spans="1:13" x14ac:dyDescent="0.3">
      <c r="A190" t="s">
        <v>218</v>
      </c>
      <c r="B190" t="s">
        <v>40</v>
      </c>
      <c r="C190" t="s">
        <v>36</v>
      </c>
      <c r="D190">
        <v>3.38</v>
      </c>
      <c r="E190">
        <v>50</v>
      </c>
      <c r="F190">
        <v>11.6</v>
      </c>
      <c r="G190">
        <v>86</v>
      </c>
      <c r="H190" s="1">
        <v>45004.638888888891</v>
      </c>
      <c r="I190" s="1">
        <v>45004.673611111109</v>
      </c>
      <c r="J190" s="1">
        <v>45004.640972222223</v>
      </c>
      <c r="K190" s="1">
        <v>45004.675694444442</v>
      </c>
      <c r="L190" t="s">
        <v>16</v>
      </c>
      <c r="M190" t="s">
        <v>17</v>
      </c>
    </row>
    <row r="191" spans="1:13" x14ac:dyDescent="0.3">
      <c r="A191" t="s">
        <v>219</v>
      </c>
      <c r="B191" t="s">
        <v>22</v>
      </c>
      <c r="C191" t="s">
        <v>32</v>
      </c>
      <c r="D191">
        <v>1.94</v>
      </c>
      <c r="E191">
        <v>50</v>
      </c>
      <c r="F191">
        <v>10.25</v>
      </c>
      <c r="G191">
        <v>97</v>
      </c>
      <c r="H191" s="1">
        <v>45004.645833333336</v>
      </c>
      <c r="I191" s="1">
        <v>45004.680555555555</v>
      </c>
      <c r="J191" s="1">
        <v>45004.663888888892</v>
      </c>
      <c r="K191" s="1">
        <v>45004.698611111111</v>
      </c>
      <c r="L191" t="s">
        <v>19</v>
      </c>
      <c r="M191" t="s">
        <v>20</v>
      </c>
    </row>
    <row r="192" spans="1:13" x14ac:dyDescent="0.3">
      <c r="A192" t="s">
        <v>220</v>
      </c>
      <c r="B192" t="s">
        <v>14</v>
      </c>
      <c r="C192" t="s">
        <v>32</v>
      </c>
      <c r="D192">
        <v>4.16</v>
      </c>
      <c r="E192">
        <v>114</v>
      </c>
      <c r="F192">
        <v>5.81</v>
      </c>
      <c r="G192">
        <v>89</v>
      </c>
      <c r="H192" s="1">
        <v>45004.652777777781</v>
      </c>
      <c r="I192" s="1">
        <v>45004.731944444444</v>
      </c>
      <c r="J192" s="1">
        <v>45004.65625</v>
      </c>
      <c r="K192" s="1">
        <v>45004.73541666667</v>
      </c>
      <c r="L192" t="s">
        <v>16</v>
      </c>
      <c r="M192" t="s">
        <v>28</v>
      </c>
    </row>
    <row r="193" spans="1:13" x14ac:dyDescent="0.3">
      <c r="A193" t="s">
        <v>221</v>
      </c>
      <c r="B193" t="s">
        <v>40</v>
      </c>
      <c r="C193" t="s">
        <v>36</v>
      </c>
      <c r="D193">
        <v>1.04</v>
      </c>
      <c r="E193">
        <v>100</v>
      </c>
      <c r="F193">
        <v>6.93</v>
      </c>
      <c r="G193">
        <v>82</v>
      </c>
      <c r="H193" s="1">
        <v>45004.659722222219</v>
      </c>
      <c r="I193" s="1">
        <v>45004.729166666664</v>
      </c>
      <c r="J193" s="1">
        <v>45004.657638888886</v>
      </c>
      <c r="K193" s="1">
        <v>45004.727083333331</v>
      </c>
      <c r="L193" t="s">
        <v>16</v>
      </c>
      <c r="M193" t="s">
        <v>20</v>
      </c>
    </row>
    <row r="194" spans="1:13" x14ac:dyDescent="0.3">
      <c r="A194" t="s">
        <v>222</v>
      </c>
      <c r="B194" t="s">
        <v>22</v>
      </c>
      <c r="C194" t="s">
        <v>36</v>
      </c>
      <c r="D194">
        <v>4.82</v>
      </c>
      <c r="E194">
        <v>80</v>
      </c>
      <c r="F194">
        <v>14.08</v>
      </c>
      <c r="G194">
        <v>80</v>
      </c>
      <c r="H194" s="1">
        <v>45004.666666666664</v>
      </c>
      <c r="I194" s="1">
        <v>45004.722222222219</v>
      </c>
      <c r="J194" s="1">
        <v>45004.666666666664</v>
      </c>
      <c r="K194" s="1">
        <v>45004.722222222219</v>
      </c>
      <c r="L194" t="s">
        <v>16</v>
      </c>
      <c r="M194" t="s">
        <v>17</v>
      </c>
    </row>
    <row r="195" spans="1:13" x14ac:dyDescent="0.3">
      <c r="A195" t="s">
        <v>223</v>
      </c>
      <c r="B195" t="s">
        <v>40</v>
      </c>
      <c r="C195" t="s">
        <v>27</v>
      </c>
      <c r="D195">
        <v>4.8099999999999996</v>
      </c>
      <c r="E195">
        <v>57</v>
      </c>
      <c r="F195">
        <v>8.84</v>
      </c>
      <c r="G195">
        <v>94</v>
      </c>
      <c r="H195" s="1">
        <v>45004.673611111109</v>
      </c>
      <c r="I195" s="1">
        <v>45004.713194444441</v>
      </c>
      <c r="J195" s="1">
        <v>45004.677083333336</v>
      </c>
      <c r="K195" s="1">
        <v>45004.716666666667</v>
      </c>
      <c r="L195" t="s">
        <v>16</v>
      </c>
      <c r="M195" t="s">
        <v>17</v>
      </c>
    </row>
    <row r="196" spans="1:13" x14ac:dyDescent="0.3">
      <c r="A196" t="s">
        <v>224</v>
      </c>
      <c r="B196" t="s">
        <v>30</v>
      </c>
      <c r="C196" t="s">
        <v>36</v>
      </c>
      <c r="D196">
        <v>2.5299999999999998</v>
      </c>
      <c r="E196">
        <v>88</v>
      </c>
      <c r="F196">
        <v>7.32</v>
      </c>
      <c r="G196">
        <v>87</v>
      </c>
      <c r="H196" s="1">
        <v>45004.680555555555</v>
      </c>
      <c r="I196" s="1">
        <v>45004.741666666669</v>
      </c>
      <c r="J196" s="1">
        <v>45004.684027777781</v>
      </c>
      <c r="K196" s="1">
        <v>45004.745138888888</v>
      </c>
      <c r="L196" t="s">
        <v>16</v>
      </c>
      <c r="M196" t="s">
        <v>17</v>
      </c>
    </row>
    <row r="197" spans="1:13" x14ac:dyDescent="0.3">
      <c r="A197" t="s">
        <v>225</v>
      </c>
      <c r="B197" t="s">
        <v>30</v>
      </c>
      <c r="C197" t="s">
        <v>36</v>
      </c>
      <c r="D197">
        <v>1.48</v>
      </c>
      <c r="E197">
        <v>56</v>
      </c>
      <c r="F197">
        <v>8.84</v>
      </c>
      <c r="G197">
        <v>93</v>
      </c>
      <c r="H197" s="1">
        <v>45004.6875</v>
      </c>
      <c r="I197" s="1">
        <v>45004.726388888892</v>
      </c>
      <c r="J197" s="1">
        <v>45004.685416666667</v>
      </c>
      <c r="K197" s="1">
        <v>45004.724305555559</v>
      </c>
      <c r="L197" t="s">
        <v>16</v>
      </c>
      <c r="M197" t="s">
        <v>20</v>
      </c>
    </row>
    <row r="198" spans="1:13" x14ac:dyDescent="0.3">
      <c r="A198" t="s">
        <v>226</v>
      </c>
      <c r="B198" t="s">
        <v>34</v>
      </c>
      <c r="C198" t="s">
        <v>36</v>
      </c>
      <c r="D198">
        <v>1.01</v>
      </c>
      <c r="E198">
        <v>21</v>
      </c>
      <c r="F198">
        <v>9.75</v>
      </c>
      <c r="G198">
        <v>88</v>
      </c>
      <c r="H198" s="1">
        <v>45004.694444444445</v>
      </c>
      <c r="I198" s="1">
        <v>45004.709027777775</v>
      </c>
      <c r="J198" s="1">
        <v>45004.702777777777</v>
      </c>
      <c r="K198" s="1">
        <v>45004.717361111114</v>
      </c>
      <c r="L198" t="s">
        <v>19</v>
      </c>
      <c r="M198" t="s">
        <v>20</v>
      </c>
    </row>
    <row r="199" spans="1:13" x14ac:dyDescent="0.3">
      <c r="A199" t="s">
        <v>227</v>
      </c>
      <c r="B199" t="s">
        <v>22</v>
      </c>
      <c r="C199" t="s">
        <v>32</v>
      </c>
      <c r="D199">
        <v>2.33</v>
      </c>
      <c r="E199">
        <v>74</v>
      </c>
      <c r="F199">
        <v>2.46</v>
      </c>
      <c r="G199">
        <v>92</v>
      </c>
      <c r="H199" s="1">
        <v>45004.701388888891</v>
      </c>
      <c r="I199" s="1">
        <v>45004.75277777778</v>
      </c>
      <c r="J199" s="1">
        <v>45004.70208333333</v>
      </c>
      <c r="K199" s="1">
        <v>45004.753472222219</v>
      </c>
      <c r="L199" t="s">
        <v>16</v>
      </c>
      <c r="M199" t="s">
        <v>43</v>
      </c>
    </row>
    <row r="200" spans="1:13" x14ac:dyDescent="0.3">
      <c r="A200" t="s">
        <v>228</v>
      </c>
      <c r="B200" t="s">
        <v>22</v>
      </c>
      <c r="C200" t="s">
        <v>27</v>
      </c>
      <c r="D200">
        <v>4.5199999999999996</v>
      </c>
      <c r="E200">
        <v>90</v>
      </c>
      <c r="F200">
        <v>7.61</v>
      </c>
      <c r="G200">
        <v>94</v>
      </c>
      <c r="H200" s="1">
        <v>45004.708333333336</v>
      </c>
      <c r="I200" s="1">
        <v>45004.770833333336</v>
      </c>
      <c r="J200" s="1">
        <v>45004.708333333336</v>
      </c>
      <c r="K200" s="1">
        <v>45004.770833333336</v>
      </c>
      <c r="L200" t="s">
        <v>16</v>
      </c>
      <c r="M200" t="s">
        <v>28</v>
      </c>
    </row>
    <row r="201" spans="1:13" x14ac:dyDescent="0.3">
      <c r="A201" t="s">
        <v>229</v>
      </c>
      <c r="B201" t="s">
        <v>30</v>
      </c>
      <c r="C201" t="s">
        <v>27</v>
      </c>
      <c r="D201">
        <v>2.04</v>
      </c>
      <c r="E201">
        <v>84</v>
      </c>
      <c r="F201">
        <v>7.96</v>
      </c>
      <c r="G201">
        <v>94</v>
      </c>
      <c r="H201" s="1">
        <v>45004.715277777781</v>
      </c>
      <c r="I201" s="1">
        <v>45004.773611111108</v>
      </c>
      <c r="J201" s="1">
        <v>45004.713888888888</v>
      </c>
      <c r="K201" s="1">
        <v>45004.772222222222</v>
      </c>
      <c r="L201" t="s">
        <v>16</v>
      </c>
      <c r="M201" t="s">
        <v>20</v>
      </c>
    </row>
    <row r="202" spans="1:13" x14ac:dyDescent="0.3">
      <c r="A202" t="s">
        <v>230</v>
      </c>
      <c r="B202" t="s">
        <v>22</v>
      </c>
      <c r="C202" t="s">
        <v>23</v>
      </c>
      <c r="D202">
        <v>2.14</v>
      </c>
      <c r="E202">
        <v>52</v>
      </c>
      <c r="F202">
        <v>9.24</v>
      </c>
      <c r="G202">
        <v>95</v>
      </c>
      <c r="H202" s="1">
        <v>45004.722222222219</v>
      </c>
      <c r="I202" s="1">
        <v>45004.758333333331</v>
      </c>
      <c r="L202" t="s">
        <v>24</v>
      </c>
      <c r="M202" t="s">
        <v>20</v>
      </c>
    </row>
    <row r="203" spans="1:13" x14ac:dyDescent="0.3">
      <c r="A203" t="s">
        <v>231</v>
      </c>
      <c r="B203" t="s">
        <v>30</v>
      </c>
      <c r="C203" t="s">
        <v>36</v>
      </c>
      <c r="D203">
        <v>4.62</v>
      </c>
      <c r="E203">
        <v>82</v>
      </c>
      <c r="F203">
        <v>10.119999999999999</v>
      </c>
      <c r="G203">
        <v>90</v>
      </c>
      <c r="H203" s="1">
        <v>45004.729166666664</v>
      </c>
      <c r="I203" s="1">
        <v>45004.786111111112</v>
      </c>
      <c r="L203" t="s">
        <v>24</v>
      </c>
      <c r="M203" t="s">
        <v>20</v>
      </c>
    </row>
    <row r="204" spans="1:13" x14ac:dyDescent="0.3">
      <c r="A204" t="s">
        <v>232</v>
      </c>
      <c r="B204" t="s">
        <v>34</v>
      </c>
      <c r="C204" t="s">
        <v>23</v>
      </c>
      <c r="D204">
        <v>1.91</v>
      </c>
      <c r="E204">
        <v>61</v>
      </c>
      <c r="F204">
        <v>3.81</v>
      </c>
      <c r="G204">
        <v>89</v>
      </c>
      <c r="H204" s="1">
        <v>45004.736111111109</v>
      </c>
      <c r="I204" s="1">
        <v>45004.77847222222</v>
      </c>
      <c r="J204" s="1">
        <v>45004.75277777778</v>
      </c>
      <c r="K204" s="1">
        <v>45004.795138888891</v>
      </c>
      <c r="L204" t="s">
        <v>19</v>
      </c>
      <c r="M204" t="s">
        <v>20</v>
      </c>
    </row>
    <row r="205" spans="1:13" x14ac:dyDescent="0.3">
      <c r="A205" t="s">
        <v>233</v>
      </c>
      <c r="B205" t="s">
        <v>30</v>
      </c>
      <c r="C205" t="s">
        <v>15</v>
      </c>
      <c r="D205">
        <v>1.66</v>
      </c>
      <c r="E205">
        <v>113</v>
      </c>
      <c r="F205">
        <v>5.93</v>
      </c>
      <c r="G205">
        <v>80</v>
      </c>
      <c r="H205" s="1">
        <v>45004.743055555555</v>
      </c>
      <c r="I205" s="1">
        <v>45004.821527777778</v>
      </c>
      <c r="J205" s="1">
        <v>45004.740972222222</v>
      </c>
      <c r="K205" s="1">
        <v>45004.819444444445</v>
      </c>
      <c r="L205" t="s">
        <v>16</v>
      </c>
      <c r="M205" t="s">
        <v>20</v>
      </c>
    </row>
    <row r="206" spans="1:13" x14ac:dyDescent="0.3">
      <c r="A206" t="s">
        <v>234</v>
      </c>
      <c r="B206" t="s">
        <v>22</v>
      </c>
      <c r="C206" t="s">
        <v>32</v>
      </c>
      <c r="D206">
        <v>1.02</v>
      </c>
      <c r="E206">
        <v>89</v>
      </c>
      <c r="F206">
        <v>10.18</v>
      </c>
      <c r="G206">
        <v>82</v>
      </c>
      <c r="H206" s="1">
        <v>45004.75</v>
      </c>
      <c r="I206" s="1">
        <v>45004.811805555553</v>
      </c>
      <c r="L206" t="s">
        <v>24</v>
      </c>
      <c r="M206" t="s">
        <v>20</v>
      </c>
    </row>
    <row r="207" spans="1:13" x14ac:dyDescent="0.3">
      <c r="A207" t="s">
        <v>235</v>
      </c>
      <c r="B207" t="s">
        <v>22</v>
      </c>
      <c r="C207" t="s">
        <v>15</v>
      </c>
      <c r="D207">
        <v>2.5</v>
      </c>
      <c r="E207">
        <v>89</v>
      </c>
      <c r="F207">
        <v>3.08</v>
      </c>
      <c r="G207">
        <v>92</v>
      </c>
      <c r="H207" s="1">
        <v>45004.756944444445</v>
      </c>
      <c r="I207" s="1">
        <v>45004.818749999999</v>
      </c>
      <c r="J207" s="1">
        <v>45004.772916666669</v>
      </c>
      <c r="K207" s="1">
        <v>45004.834722222222</v>
      </c>
      <c r="L207" t="s">
        <v>19</v>
      </c>
      <c r="M207" t="s">
        <v>20</v>
      </c>
    </row>
    <row r="208" spans="1:13" x14ac:dyDescent="0.3">
      <c r="A208" t="s">
        <v>236</v>
      </c>
      <c r="B208" t="s">
        <v>34</v>
      </c>
      <c r="C208" t="s">
        <v>32</v>
      </c>
      <c r="D208">
        <v>3.41</v>
      </c>
      <c r="E208">
        <v>21</v>
      </c>
      <c r="F208">
        <v>3.53</v>
      </c>
      <c r="G208">
        <v>82</v>
      </c>
      <c r="H208" s="1">
        <v>45004.763888888891</v>
      </c>
      <c r="I208" s="1">
        <v>45004.77847222222</v>
      </c>
      <c r="J208" s="1">
        <v>45004.761805555558</v>
      </c>
      <c r="K208" s="1">
        <v>45004.776388888888</v>
      </c>
      <c r="L208" t="s">
        <v>16</v>
      </c>
      <c r="M208" t="s">
        <v>20</v>
      </c>
    </row>
    <row r="209" spans="1:13" x14ac:dyDescent="0.3">
      <c r="A209" t="s">
        <v>237</v>
      </c>
      <c r="B209" t="s">
        <v>14</v>
      </c>
      <c r="C209" t="s">
        <v>15</v>
      </c>
      <c r="D209">
        <v>3.27</v>
      </c>
      <c r="E209">
        <v>20</v>
      </c>
      <c r="F209">
        <v>5.0599999999999996</v>
      </c>
      <c r="G209">
        <v>85</v>
      </c>
      <c r="H209" s="1">
        <v>45004.770833333336</v>
      </c>
      <c r="I209" s="1">
        <v>45004.784722222219</v>
      </c>
      <c r="J209" s="1">
        <v>45004.770833333336</v>
      </c>
      <c r="K209" s="1">
        <v>45004.784722222219</v>
      </c>
      <c r="L209" t="s">
        <v>16</v>
      </c>
      <c r="M209" t="s">
        <v>28</v>
      </c>
    </row>
    <row r="210" spans="1:13" x14ac:dyDescent="0.3">
      <c r="A210" t="s">
        <v>238</v>
      </c>
      <c r="B210" t="s">
        <v>14</v>
      </c>
      <c r="C210" t="s">
        <v>15</v>
      </c>
      <c r="D210">
        <v>2.34</v>
      </c>
      <c r="E210">
        <v>106</v>
      </c>
      <c r="F210">
        <v>11.95</v>
      </c>
      <c r="G210">
        <v>83</v>
      </c>
      <c r="H210" s="1">
        <v>45004.777777777781</v>
      </c>
      <c r="I210" s="1">
        <v>45004.851388888892</v>
      </c>
      <c r="J210" s="1">
        <v>45004.788194444445</v>
      </c>
      <c r="K210" s="1">
        <v>45004.861805555556</v>
      </c>
      <c r="L210" t="s">
        <v>19</v>
      </c>
      <c r="M210" t="s">
        <v>20</v>
      </c>
    </row>
    <row r="211" spans="1:13" x14ac:dyDescent="0.3">
      <c r="A211" t="s">
        <v>239</v>
      </c>
      <c r="B211" t="s">
        <v>22</v>
      </c>
      <c r="C211" t="s">
        <v>36</v>
      </c>
      <c r="D211">
        <v>1.1000000000000001</v>
      </c>
      <c r="E211">
        <v>76</v>
      </c>
      <c r="F211">
        <v>10.49</v>
      </c>
      <c r="G211">
        <v>80</v>
      </c>
      <c r="H211" s="1">
        <v>45004.784722222219</v>
      </c>
      <c r="I211" s="1">
        <v>45004.837500000001</v>
      </c>
      <c r="J211" s="1">
        <v>45004.785416666666</v>
      </c>
      <c r="K211" s="1">
        <v>45004.838194444441</v>
      </c>
      <c r="L211" t="s">
        <v>16</v>
      </c>
      <c r="M211" t="s">
        <v>17</v>
      </c>
    </row>
    <row r="212" spans="1:13" x14ac:dyDescent="0.3">
      <c r="A212" t="s">
        <v>240</v>
      </c>
      <c r="B212" t="s">
        <v>40</v>
      </c>
      <c r="C212" t="s">
        <v>32</v>
      </c>
      <c r="D212">
        <v>1.66</v>
      </c>
      <c r="E212">
        <v>25</v>
      </c>
      <c r="F212">
        <v>8.39</v>
      </c>
      <c r="G212">
        <v>80</v>
      </c>
      <c r="H212" s="1">
        <v>45004.791666666664</v>
      </c>
      <c r="I212" s="1">
        <v>45004.809027777781</v>
      </c>
      <c r="J212" s="1">
        <v>45004.790972222225</v>
      </c>
      <c r="K212" s="1">
        <v>45004.808333333334</v>
      </c>
      <c r="L212" t="s">
        <v>16</v>
      </c>
      <c r="M212" t="s">
        <v>20</v>
      </c>
    </row>
    <row r="213" spans="1:13" x14ac:dyDescent="0.3">
      <c r="A213" t="s">
        <v>241</v>
      </c>
      <c r="B213" t="s">
        <v>14</v>
      </c>
      <c r="C213" t="s">
        <v>32</v>
      </c>
      <c r="D213">
        <v>1.45</v>
      </c>
      <c r="E213">
        <v>96</v>
      </c>
      <c r="F213">
        <v>4.2699999999999996</v>
      </c>
      <c r="G213">
        <v>98</v>
      </c>
      <c r="H213" s="1">
        <v>45004.798611111109</v>
      </c>
      <c r="I213" s="1">
        <v>45004.865277777775</v>
      </c>
      <c r="J213" s="1">
        <v>45004.800694444442</v>
      </c>
      <c r="K213" s="1">
        <v>45004.867361111108</v>
      </c>
      <c r="L213" t="s">
        <v>16</v>
      </c>
      <c r="M213" t="s">
        <v>28</v>
      </c>
    </row>
    <row r="214" spans="1:13" x14ac:dyDescent="0.3">
      <c r="A214" t="s">
        <v>242</v>
      </c>
      <c r="B214" t="s">
        <v>40</v>
      </c>
      <c r="C214" t="s">
        <v>15</v>
      </c>
      <c r="D214">
        <v>1.04</v>
      </c>
      <c r="E214">
        <v>53</v>
      </c>
      <c r="F214">
        <v>4.49</v>
      </c>
      <c r="G214">
        <v>84</v>
      </c>
      <c r="H214" s="1">
        <v>45004.805555555555</v>
      </c>
      <c r="I214" s="1">
        <v>45004.842361111114</v>
      </c>
      <c r="L214" t="s">
        <v>24</v>
      </c>
      <c r="M214" t="s">
        <v>20</v>
      </c>
    </row>
    <row r="215" spans="1:13" x14ac:dyDescent="0.3">
      <c r="A215" t="s">
        <v>243</v>
      </c>
      <c r="B215" t="s">
        <v>22</v>
      </c>
      <c r="C215" t="s">
        <v>15</v>
      </c>
      <c r="D215">
        <v>2.39</v>
      </c>
      <c r="E215">
        <v>36</v>
      </c>
      <c r="F215">
        <v>4.59</v>
      </c>
      <c r="G215">
        <v>85</v>
      </c>
      <c r="H215" s="1">
        <v>45004.8125</v>
      </c>
      <c r="I215" s="1">
        <v>45004.837500000001</v>
      </c>
      <c r="J215" s="1">
        <v>45004.810416666667</v>
      </c>
      <c r="K215" s="1">
        <v>45004.835416666669</v>
      </c>
      <c r="L215" t="s">
        <v>16</v>
      </c>
      <c r="M215" t="s">
        <v>20</v>
      </c>
    </row>
    <row r="216" spans="1:13" x14ac:dyDescent="0.3">
      <c r="A216" t="s">
        <v>244</v>
      </c>
      <c r="B216" t="s">
        <v>30</v>
      </c>
      <c r="C216" t="s">
        <v>32</v>
      </c>
      <c r="D216">
        <v>4.79</v>
      </c>
      <c r="E216">
        <v>43</v>
      </c>
      <c r="F216">
        <v>6.1</v>
      </c>
      <c r="G216">
        <v>91</v>
      </c>
      <c r="H216" s="1">
        <v>45004.819444444445</v>
      </c>
      <c r="I216" s="1">
        <v>45004.849305555559</v>
      </c>
      <c r="J216" s="1">
        <v>45004.822222222225</v>
      </c>
      <c r="K216" s="1">
        <v>45004.852083333331</v>
      </c>
      <c r="L216" t="s">
        <v>16</v>
      </c>
      <c r="M216" t="s">
        <v>28</v>
      </c>
    </row>
    <row r="217" spans="1:13" x14ac:dyDescent="0.3">
      <c r="A217" t="s">
        <v>245</v>
      </c>
      <c r="B217" t="s">
        <v>14</v>
      </c>
      <c r="C217" t="s">
        <v>27</v>
      </c>
      <c r="D217">
        <v>3.51</v>
      </c>
      <c r="E217">
        <v>42</v>
      </c>
      <c r="F217">
        <v>10.46</v>
      </c>
      <c r="G217">
        <v>95</v>
      </c>
      <c r="H217" s="1">
        <v>45004.826388888891</v>
      </c>
      <c r="I217" s="1">
        <v>45004.855555555558</v>
      </c>
      <c r="J217" s="1">
        <v>45004.826388888891</v>
      </c>
      <c r="K217" s="1">
        <v>45004.855555555558</v>
      </c>
      <c r="L217" t="s">
        <v>16</v>
      </c>
      <c r="M217" t="s">
        <v>17</v>
      </c>
    </row>
    <row r="218" spans="1:13" x14ac:dyDescent="0.3">
      <c r="A218" t="s">
        <v>246</v>
      </c>
      <c r="B218" t="s">
        <v>30</v>
      </c>
      <c r="C218" t="s">
        <v>15</v>
      </c>
      <c r="D218">
        <v>3.35</v>
      </c>
      <c r="E218">
        <v>109</v>
      </c>
      <c r="F218">
        <v>4.75</v>
      </c>
      <c r="G218">
        <v>95</v>
      </c>
      <c r="H218" s="1">
        <v>45004.833333333336</v>
      </c>
      <c r="I218" s="1">
        <v>45004.90902777778</v>
      </c>
      <c r="J218" s="1">
        <v>45004.830555555556</v>
      </c>
      <c r="K218" s="1">
        <v>45004.90625</v>
      </c>
      <c r="L218" t="s">
        <v>16</v>
      </c>
      <c r="M218" t="s">
        <v>20</v>
      </c>
    </row>
    <row r="219" spans="1:13" x14ac:dyDescent="0.3">
      <c r="A219" t="s">
        <v>247</v>
      </c>
      <c r="B219" t="s">
        <v>34</v>
      </c>
      <c r="C219" t="s">
        <v>23</v>
      </c>
      <c r="D219">
        <v>2.58</v>
      </c>
      <c r="E219">
        <v>71</v>
      </c>
      <c r="F219">
        <v>10.74</v>
      </c>
      <c r="G219">
        <v>84</v>
      </c>
      <c r="H219" s="1">
        <v>45004.840277777781</v>
      </c>
      <c r="I219" s="1">
        <v>45004.88958333333</v>
      </c>
      <c r="J219" s="1">
        <v>45004.853472222225</v>
      </c>
      <c r="K219" s="1">
        <v>45004.902777777781</v>
      </c>
      <c r="L219" t="s">
        <v>19</v>
      </c>
      <c r="M219" t="s">
        <v>20</v>
      </c>
    </row>
    <row r="220" spans="1:13" x14ac:dyDescent="0.3">
      <c r="A220" t="s">
        <v>248</v>
      </c>
      <c r="B220" t="s">
        <v>34</v>
      </c>
      <c r="C220" t="s">
        <v>23</v>
      </c>
      <c r="D220">
        <v>1.46</v>
      </c>
      <c r="E220">
        <v>107</v>
      </c>
      <c r="F220">
        <v>11.19</v>
      </c>
      <c r="G220">
        <v>97</v>
      </c>
      <c r="H220" s="1">
        <v>45004.847222222219</v>
      </c>
      <c r="I220" s="1">
        <v>45004.921527777777</v>
      </c>
      <c r="J220" s="1">
        <v>45004.84652777778</v>
      </c>
      <c r="K220" s="1">
        <v>45004.92083333333</v>
      </c>
      <c r="L220" t="s">
        <v>16</v>
      </c>
      <c r="M220" t="s">
        <v>20</v>
      </c>
    </row>
    <row r="221" spans="1:13" x14ac:dyDescent="0.3">
      <c r="A221" t="s">
        <v>249</v>
      </c>
      <c r="B221" t="s">
        <v>34</v>
      </c>
      <c r="C221" t="s">
        <v>32</v>
      </c>
      <c r="D221">
        <v>1.62</v>
      </c>
      <c r="E221">
        <v>70</v>
      </c>
      <c r="F221">
        <v>4.22</v>
      </c>
      <c r="G221">
        <v>81</v>
      </c>
      <c r="H221" s="1">
        <v>45004.854166666664</v>
      </c>
      <c r="I221" s="1">
        <v>45004.902777777781</v>
      </c>
      <c r="J221" s="1">
        <v>45004.852083333331</v>
      </c>
      <c r="K221" s="1">
        <v>45004.900694444441</v>
      </c>
      <c r="L221" t="s">
        <v>16</v>
      </c>
      <c r="M221" t="s">
        <v>20</v>
      </c>
    </row>
    <row r="222" spans="1:13" x14ac:dyDescent="0.3">
      <c r="A222" t="s">
        <v>250</v>
      </c>
      <c r="B222" t="s">
        <v>30</v>
      </c>
      <c r="C222" t="s">
        <v>36</v>
      </c>
      <c r="D222">
        <v>1.66</v>
      </c>
      <c r="E222">
        <v>95</v>
      </c>
      <c r="F222">
        <v>10.49</v>
      </c>
      <c r="G222">
        <v>81</v>
      </c>
      <c r="H222" s="1">
        <v>45004.861111111109</v>
      </c>
      <c r="I222" s="1">
        <v>45004.927083333336</v>
      </c>
      <c r="J222" s="1">
        <v>45004.87777777778</v>
      </c>
      <c r="K222" s="1">
        <v>45004.943749999999</v>
      </c>
      <c r="L222" t="s">
        <v>19</v>
      </c>
      <c r="M222" t="s">
        <v>20</v>
      </c>
    </row>
    <row r="223" spans="1:13" x14ac:dyDescent="0.3">
      <c r="A223" t="s">
        <v>251</v>
      </c>
      <c r="B223" t="s">
        <v>40</v>
      </c>
      <c r="C223" t="s">
        <v>27</v>
      </c>
      <c r="D223">
        <v>1.27</v>
      </c>
      <c r="E223">
        <v>119</v>
      </c>
      <c r="F223">
        <v>3.14</v>
      </c>
      <c r="G223">
        <v>89</v>
      </c>
      <c r="H223" s="1">
        <v>45004.868055555555</v>
      </c>
      <c r="I223" s="1">
        <v>45004.950694444444</v>
      </c>
      <c r="L223" t="s">
        <v>24</v>
      </c>
      <c r="M223" t="s">
        <v>20</v>
      </c>
    </row>
    <row r="224" spans="1:13" x14ac:dyDescent="0.3">
      <c r="A224" t="s">
        <v>252</v>
      </c>
      <c r="B224" t="s">
        <v>14</v>
      </c>
      <c r="C224" t="s">
        <v>23</v>
      </c>
      <c r="D224">
        <v>2.39</v>
      </c>
      <c r="E224">
        <v>58</v>
      </c>
      <c r="F224">
        <v>10.74</v>
      </c>
      <c r="G224">
        <v>92</v>
      </c>
      <c r="H224" s="1">
        <v>45004.875</v>
      </c>
      <c r="I224" s="1">
        <v>45004.915277777778</v>
      </c>
      <c r="L224" t="s">
        <v>24</v>
      </c>
      <c r="M224" t="s">
        <v>20</v>
      </c>
    </row>
    <row r="225" spans="1:13" x14ac:dyDescent="0.3">
      <c r="A225" t="s">
        <v>253</v>
      </c>
      <c r="B225" t="s">
        <v>34</v>
      </c>
      <c r="C225" t="s">
        <v>36</v>
      </c>
      <c r="D225">
        <v>3.61</v>
      </c>
      <c r="E225">
        <v>85</v>
      </c>
      <c r="F225">
        <v>9.6300000000000008</v>
      </c>
      <c r="G225">
        <v>99</v>
      </c>
      <c r="H225" s="1">
        <v>45004.881944444445</v>
      </c>
      <c r="I225" s="1">
        <v>45004.940972222219</v>
      </c>
      <c r="J225" s="1">
        <v>45004.9</v>
      </c>
      <c r="K225" s="1">
        <v>45004.959027777775</v>
      </c>
      <c r="L225" t="s">
        <v>19</v>
      </c>
      <c r="M225" t="s">
        <v>20</v>
      </c>
    </row>
    <row r="226" spans="1:13" x14ac:dyDescent="0.3">
      <c r="A226" t="s">
        <v>254</v>
      </c>
      <c r="B226" t="s">
        <v>40</v>
      </c>
      <c r="C226" t="s">
        <v>32</v>
      </c>
      <c r="D226">
        <v>4.5199999999999996</v>
      </c>
      <c r="E226">
        <v>22</v>
      </c>
      <c r="F226">
        <v>13.02</v>
      </c>
      <c r="G226">
        <v>80</v>
      </c>
      <c r="H226" s="1">
        <v>45004.888888888891</v>
      </c>
      <c r="I226" s="1">
        <v>45004.904166666667</v>
      </c>
      <c r="J226" s="1">
        <v>45004.888888888891</v>
      </c>
      <c r="K226" s="1">
        <v>45004.904166666667</v>
      </c>
      <c r="L226" t="s">
        <v>16</v>
      </c>
      <c r="M226" t="s">
        <v>17</v>
      </c>
    </row>
    <row r="227" spans="1:13" x14ac:dyDescent="0.3">
      <c r="A227" t="s">
        <v>255</v>
      </c>
      <c r="B227" t="s">
        <v>22</v>
      </c>
      <c r="C227" t="s">
        <v>15</v>
      </c>
      <c r="D227">
        <v>3.11</v>
      </c>
      <c r="E227">
        <v>105</v>
      </c>
      <c r="F227">
        <v>7.9</v>
      </c>
      <c r="G227">
        <v>88</v>
      </c>
      <c r="H227" s="1">
        <v>45004.895833333336</v>
      </c>
      <c r="I227" s="1">
        <v>45004.96875</v>
      </c>
      <c r="J227" s="1">
        <v>45004.893750000003</v>
      </c>
      <c r="K227" s="1">
        <v>45004.966666666667</v>
      </c>
      <c r="L227" t="s">
        <v>16</v>
      </c>
      <c r="M227" t="s">
        <v>20</v>
      </c>
    </row>
    <row r="228" spans="1:13" x14ac:dyDescent="0.3">
      <c r="A228" t="s">
        <v>256</v>
      </c>
      <c r="B228" t="s">
        <v>34</v>
      </c>
      <c r="C228" t="s">
        <v>36</v>
      </c>
      <c r="D228">
        <v>3.25</v>
      </c>
      <c r="E228">
        <v>109</v>
      </c>
      <c r="F228">
        <v>6.97</v>
      </c>
      <c r="G228">
        <v>81</v>
      </c>
      <c r="H228" s="1">
        <v>45004.902777777781</v>
      </c>
      <c r="I228" s="1">
        <v>45004.978472222225</v>
      </c>
      <c r="J228" s="1">
        <v>45004.911805555559</v>
      </c>
      <c r="K228" s="1">
        <v>45004.987500000003</v>
      </c>
      <c r="L228" t="s">
        <v>19</v>
      </c>
      <c r="M228" t="s">
        <v>20</v>
      </c>
    </row>
    <row r="229" spans="1:13" x14ac:dyDescent="0.3">
      <c r="A229" t="s">
        <v>257</v>
      </c>
      <c r="B229" t="s">
        <v>30</v>
      </c>
      <c r="C229" t="s">
        <v>27</v>
      </c>
      <c r="D229">
        <v>4.66</v>
      </c>
      <c r="E229">
        <v>77</v>
      </c>
      <c r="F229">
        <v>8.4700000000000006</v>
      </c>
      <c r="G229">
        <v>82</v>
      </c>
      <c r="H229" s="1">
        <v>45004.909722222219</v>
      </c>
      <c r="I229" s="1">
        <v>45004.963194444441</v>
      </c>
      <c r="J229" s="1">
        <v>45004.907638888886</v>
      </c>
      <c r="K229" s="1">
        <v>45004.961111111108</v>
      </c>
      <c r="L229" t="s">
        <v>16</v>
      </c>
      <c r="M229" t="s">
        <v>20</v>
      </c>
    </row>
    <row r="230" spans="1:13" x14ac:dyDescent="0.3">
      <c r="A230" t="s">
        <v>258</v>
      </c>
      <c r="B230" t="s">
        <v>14</v>
      </c>
      <c r="C230" t="s">
        <v>32</v>
      </c>
      <c r="D230">
        <v>4.49</v>
      </c>
      <c r="E230">
        <v>59</v>
      </c>
      <c r="F230">
        <v>13.77</v>
      </c>
      <c r="G230">
        <v>83</v>
      </c>
      <c r="H230" s="1">
        <v>45004.916666666664</v>
      </c>
      <c r="I230" s="1">
        <v>45004.957638888889</v>
      </c>
      <c r="J230" s="1">
        <v>45004.916666666664</v>
      </c>
      <c r="K230" s="1">
        <v>45004.957638888889</v>
      </c>
      <c r="L230" t="s">
        <v>16</v>
      </c>
      <c r="M230" t="s">
        <v>17</v>
      </c>
    </row>
    <row r="231" spans="1:13" x14ac:dyDescent="0.3">
      <c r="A231" t="s">
        <v>259</v>
      </c>
      <c r="B231" t="s">
        <v>14</v>
      </c>
      <c r="C231" t="s">
        <v>32</v>
      </c>
      <c r="D231">
        <v>2.36</v>
      </c>
      <c r="E231">
        <v>65</v>
      </c>
      <c r="F231">
        <v>11.13</v>
      </c>
      <c r="G231">
        <v>88</v>
      </c>
      <c r="H231" s="1">
        <v>45004.923611111109</v>
      </c>
      <c r="I231" s="1">
        <v>45004.96875</v>
      </c>
      <c r="J231" s="1">
        <v>45004.925694444442</v>
      </c>
      <c r="K231" s="1">
        <v>45004.970833333333</v>
      </c>
      <c r="L231" t="s">
        <v>16</v>
      </c>
      <c r="M231" t="s">
        <v>17</v>
      </c>
    </row>
    <row r="232" spans="1:13" x14ac:dyDescent="0.3">
      <c r="A232" t="s">
        <v>260</v>
      </c>
      <c r="B232" t="s">
        <v>30</v>
      </c>
      <c r="C232" t="s">
        <v>23</v>
      </c>
      <c r="D232">
        <v>3.44</v>
      </c>
      <c r="E232">
        <v>36</v>
      </c>
      <c r="F232">
        <v>14.64</v>
      </c>
      <c r="G232">
        <v>81</v>
      </c>
      <c r="H232" s="1">
        <v>45004.930555555555</v>
      </c>
      <c r="I232" s="1">
        <v>45004.955555555556</v>
      </c>
      <c r="L232" t="s">
        <v>24</v>
      </c>
      <c r="M232" t="s">
        <v>20</v>
      </c>
    </row>
    <row r="233" spans="1:13" x14ac:dyDescent="0.3">
      <c r="A233" t="s">
        <v>261</v>
      </c>
      <c r="B233" t="s">
        <v>14</v>
      </c>
      <c r="C233" t="s">
        <v>15</v>
      </c>
      <c r="D233">
        <v>3.62</v>
      </c>
      <c r="E233">
        <v>106</v>
      </c>
      <c r="F233">
        <v>11.48</v>
      </c>
      <c r="G233">
        <v>98</v>
      </c>
      <c r="H233" s="1">
        <v>45004.9375</v>
      </c>
      <c r="I233" s="1">
        <v>45005.011111111111</v>
      </c>
      <c r="J233" s="1">
        <v>45004.935416666667</v>
      </c>
      <c r="K233" s="1">
        <v>45005.009027777778</v>
      </c>
      <c r="L233" t="s">
        <v>16</v>
      </c>
      <c r="M233" t="s">
        <v>20</v>
      </c>
    </row>
    <row r="234" spans="1:13" x14ac:dyDescent="0.3">
      <c r="A234" t="s">
        <v>262</v>
      </c>
      <c r="B234" t="s">
        <v>22</v>
      </c>
      <c r="C234" t="s">
        <v>32</v>
      </c>
      <c r="D234">
        <v>3.03</v>
      </c>
      <c r="E234">
        <v>88</v>
      </c>
      <c r="F234">
        <v>2.35</v>
      </c>
      <c r="G234">
        <v>81</v>
      </c>
      <c r="H234" s="1">
        <v>45004.944444444445</v>
      </c>
      <c r="I234" s="1">
        <v>45005.005555555559</v>
      </c>
      <c r="J234" s="1">
        <v>45004.943055555559</v>
      </c>
      <c r="K234" s="1">
        <v>45005.004166666666</v>
      </c>
      <c r="L234" t="s">
        <v>16</v>
      </c>
      <c r="M234" t="s">
        <v>20</v>
      </c>
    </row>
    <row r="235" spans="1:13" x14ac:dyDescent="0.3">
      <c r="A235" t="s">
        <v>263</v>
      </c>
      <c r="B235" t="s">
        <v>14</v>
      </c>
      <c r="C235" t="s">
        <v>15</v>
      </c>
      <c r="D235">
        <v>4.3099999999999996</v>
      </c>
      <c r="E235">
        <v>111</v>
      </c>
      <c r="F235">
        <v>9.9499999999999993</v>
      </c>
      <c r="G235">
        <v>98</v>
      </c>
      <c r="H235" s="1">
        <v>45004.951388888891</v>
      </c>
      <c r="I235" s="1">
        <v>45005.02847222222</v>
      </c>
      <c r="J235" s="1">
        <v>45004.95208333333</v>
      </c>
      <c r="K235" s="1">
        <v>45005.029166666667</v>
      </c>
      <c r="L235" t="s">
        <v>16</v>
      </c>
      <c r="M235" t="s">
        <v>17</v>
      </c>
    </row>
    <row r="236" spans="1:13" x14ac:dyDescent="0.3">
      <c r="A236" t="s">
        <v>264</v>
      </c>
      <c r="B236" t="s">
        <v>40</v>
      </c>
      <c r="C236" t="s">
        <v>27</v>
      </c>
      <c r="D236">
        <v>4.37</v>
      </c>
      <c r="E236">
        <v>56</v>
      </c>
      <c r="F236">
        <v>6.94</v>
      </c>
      <c r="G236">
        <v>89</v>
      </c>
      <c r="H236" s="1">
        <v>45004.958333333336</v>
      </c>
      <c r="I236" s="1">
        <v>45004.99722222222</v>
      </c>
      <c r="J236" s="1">
        <v>45004.956250000003</v>
      </c>
      <c r="K236" s="1">
        <v>45004.995138888888</v>
      </c>
      <c r="L236" t="s">
        <v>16</v>
      </c>
      <c r="M236" t="s">
        <v>20</v>
      </c>
    </row>
    <row r="237" spans="1:13" x14ac:dyDescent="0.3">
      <c r="A237" t="s">
        <v>265</v>
      </c>
      <c r="B237" t="s">
        <v>30</v>
      </c>
      <c r="C237" t="s">
        <v>27</v>
      </c>
      <c r="D237">
        <v>4.49</v>
      </c>
      <c r="E237">
        <v>26</v>
      </c>
      <c r="F237">
        <v>7.84</v>
      </c>
      <c r="G237">
        <v>97</v>
      </c>
      <c r="H237" s="1">
        <v>45004.965277777781</v>
      </c>
      <c r="I237" s="1">
        <v>45004.98333333333</v>
      </c>
      <c r="J237" s="1">
        <v>45004.965277777781</v>
      </c>
      <c r="K237" s="1">
        <v>45004.98333333333</v>
      </c>
      <c r="L237" t="s">
        <v>16</v>
      </c>
      <c r="M237" t="s">
        <v>28</v>
      </c>
    </row>
    <row r="238" spans="1:13" x14ac:dyDescent="0.3">
      <c r="A238" t="s">
        <v>266</v>
      </c>
      <c r="B238" t="s">
        <v>14</v>
      </c>
      <c r="C238" t="s">
        <v>15</v>
      </c>
      <c r="D238">
        <v>3.53</v>
      </c>
      <c r="E238">
        <v>83</v>
      </c>
      <c r="F238">
        <v>6.17</v>
      </c>
      <c r="G238">
        <v>83</v>
      </c>
      <c r="H238" s="1">
        <v>45004.972222222219</v>
      </c>
      <c r="I238" s="1">
        <v>45005.029861111114</v>
      </c>
      <c r="J238" s="1">
        <v>45004.974305555559</v>
      </c>
      <c r="K238" s="1">
        <v>45005.031944444447</v>
      </c>
      <c r="L238" t="s">
        <v>16</v>
      </c>
      <c r="M238" t="s">
        <v>28</v>
      </c>
    </row>
    <row r="239" spans="1:13" x14ac:dyDescent="0.3">
      <c r="A239" t="s">
        <v>267</v>
      </c>
      <c r="B239" t="s">
        <v>34</v>
      </c>
      <c r="C239" t="s">
        <v>23</v>
      </c>
      <c r="D239">
        <v>4.0999999999999996</v>
      </c>
      <c r="E239">
        <v>95</v>
      </c>
      <c r="F239">
        <v>7.18</v>
      </c>
      <c r="G239">
        <v>89</v>
      </c>
      <c r="H239" s="1">
        <v>45004.979166666664</v>
      </c>
      <c r="I239" s="1">
        <v>45005.045138888891</v>
      </c>
      <c r="J239" s="1">
        <v>45004.977777777778</v>
      </c>
      <c r="K239" s="1">
        <v>45005.043749999997</v>
      </c>
      <c r="L239" t="s">
        <v>16</v>
      </c>
      <c r="M239" t="s">
        <v>20</v>
      </c>
    </row>
    <row r="240" spans="1:13" x14ac:dyDescent="0.3">
      <c r="A240" t="s">
        <v>268</v>
      </c>
      <c r="B240" t="s">
        <v>40</v>
      </c>
      <c r="C240" t="s">
        <v>27</v>
      </c>
      <c r="D240">
        <v>4.42</v>
      </c>
      <c r="E240">
        <v>89</v>
      </c>
      <c r="F240">
        <v>2.79</v>
      </c>
      <c r="G240">
        <v>93</v>
      </c>
      <c r="H240" s="1">
        <v>45004.986111111109</v>
      </c>
      <c r="I240" s="1">
        <v>45005.04791666667</v>
      </c>
      <c r="L240" t="s">
        <v>24</v>
      </c>
      <c r="M240" t="s">
        <v>20</v>
      </c>
    </row>
    <row r="241" spans="1:13" x14ac:dyDescent="0.3">
      <c r="A241" t="s">
        <v>269</v>
      </c>
      <c r="B241" t="s">
        <v>30</v>
      </c>
      <c r="C241" t="s">
        <v>15</v>
      </c>
      <c r="D241">
        <v>3.88</v>
      </c>
      <c r="E241">
        <v>22</v>
      </c>
      <c r="F241">
        <v>9.51</v>
      </c>
      <c r="G241">
        <v>92</v>
      </c>
      <c r="H241" s="1">
        <v>45004.993055555555</v>
      </c>
      <c r="I241" s="1">
        <v>45005.008333333331</v>
      </c>
      <c r="L241" t="s">
        <v>24</v>
      </c>
      <c r="M241" t="s">
        <v>20</v>
      </c>
    </row>
    <row r="242" spans="1:13" x14ac:dyDescent="0.3">
      <c r="A242" t="s">
        <v>270</v>
      </c>
      <c r="B242" t="s">
        <v>14</v>
      </c>
      <c r="C242" t="s">
        <v>32</v>
      </c>
      <c r="D242">
        <v>2.65</v>
      </c>
      <c r="E242">
        <v>95</v>
      </c>
      <c r="F242">
        <v>9.52</v>
      </c>
      <c r="G242">
        <v>91</v>
      </c>
      <c r="H242" s="1">
        <v>45005</v>
      </c>
      <c r="I242" s="1">
        <v>45005.065972222219</v>
      </c>
      <c r="J242" s="1">
        <v>45005.000694444447</v>
      </c>
      <c r="K242" s="1">
        <v>45005.066666666666</v>
      </c>
      <c r="L242" t="s">
        <v>16</v>
      </c>
      <c r="M242" t="s">
        <v>17</v>
      </c>
    </row>
    <row r="243" spans="1:13" x14ac:dyDescent="0.3">
      <c r="A243" t="s">
        <v>271</v>
      </c>
      <c r="B243" t="s">
        <v>34</v>
      </c>
      <c r="C243" t="s">
        <v>27</v>
      </c>
      <c r="D243">
        <v>4.51</v>
      </c>
      <c r="E243">
        <v>102</v>
      </c>
      <c r="F243">
        <v>10.33</v>
      </c>
      <c r="G243">
        <v>97</v>
      </c>
      <c r="H243" s="1">
        <v>45005.006944444445</v>
      </c>
      <c r="I243" s="1">
        <v>45005.077777777777</v>
      </c>
      <c r="J243" s="1">
        <v>45005.003472222219</v>
      </c>
      <c r="K243" s="1">
        <v>45005.074305555558</v>
      </c>
      <c r="L243" t="s">
        <v>16</v>
      </c>
      <c r="M243" t="s">
        <v>20</v>
      </c>
    </row>
    <row r="244" spans="1:13" x14ac:dyDescent="0.3">
      <c r="A244" t="s">
        <v>272</v>
      </c>
      <c r="B244" t="s">
        <v>30</v>
      </c>
      <c r="C244" t="s">
        <v>27</v>
      </c>
      <c r="D244">
        <v>2.34</v>
      </c>
      <c r="E244">
        <v>56</v>
      </c>
      <c r="F244">
        <v>4.43</v>
      </c>
      <c r="G244">
        <v>85</v>
      </c>
      <c r="H244" s="1">
        <v>45005.013888888891</v>
      </c>
      <c r="I244" s="1">
        <v>45005.052777777775</v>
      </c>
      <c r="J244" s="1">
        <v>45005.015277777777</v>
      </c>
      <c r="K244" s="1">
        <v>45005.054166666669</v>
      </c>
      <c r="L244" t="s">
        <v>16</v>
      </c>
      <c r="M244" t="s">
        <v>28</v>
      </c>
    </row>
    <row r="245" spans="1:13" x14ac:dyDescent="0.3">
      <c r="A245" t="s">
        <v>273</v>
      </c>
      <c r="B245" t="s">
        <v>40</v>
      </c>
      <c r="C245" t="s">
        <v>15</v>
      </c>
      <c r="D245">
        <v>3.75</v>
      </c>
      <c r="E245">
        <v>42</v>
      </c>
      <c r="F245">
        <v>10.91</v>
      </c>
      <c r="G245">
        <v>91</v>
      </c>
      <c r="H245" s="1">
        <v>45005.020833333336</v>
      </c>
      <c r="I245" s="1">
        <v>45005.05</v>
      </c>
      <c r="J245" s="1">
        <v>45005.034722222219</v>
      </c>
      <c r="K245" s="1">
        <v>45005.063888888886</v>
      </c>
      <c r="L245" t="s">
        <v>19</v>
      </c>
      <c r="M245" t="s">
        <v>20</v>
      </c>
    </row>
    <row r="246" spans="1:13" x14ac:dyDescent="0.3">
      <c r="A246" t="s">
        <v>274</v>
      </c>
      <c r="B246" t="s">
        <v>30</v>
      </c>
      <c r="C246" t="s">
        <v>23</v>
      </c>
      <c r="D246">
        <v>2.86</v>
      </c>
      <c r="E246">
        <v>25</v>
      </c>
      <c r="F246">
        <v>2.84</v>
      </c>
      <c r="G246">
        <v>82</v>
      </c>
      <c r="H246" s="1">
        <v>45005.027777777781</v>
      </c>
      <c r="I246" s="1">
        <v>45005.045138888891</v>
      </c>
      <c r="J246" s="1">
        <v>45005.029166666667</v>
      </c>
      <c r="K246" s="1">
        <v>45005.046527777777</v>
      </c>
      <c r="L246" t="s">
        <v>16</v>
      </c>
      <c r="M246" t="s">
        <v>28</v>
      </c>
    </row>
    <row r="247" spans="1:13" x14ac:dyDescent="0.3">
      <c r="A247" t="s">
        <v>275</v>
      </c>
      <c r="B247" t="s">
        <v>14</v>
      </c>
      <c r="C247" t="s">
        <v>32</v>
      </c>
      <c r="D247">
        <v>1.69</v>
      </c>
      <c r="E247">
        <v>40</v>
      </c>
      <c r="F247">
        <v>3.02</v>
      </c>
      <c r="G247">
        <v>90</v>
      </c>
      <c r="H247" s="1">
        <v>45005.034722222219</v>
      </c>
      <c r="I247" s="1">
        <v>45005.0625</v>
      </c>
      <c r="J247" s="1">
        <v>45005.033333333333</v>
      </c>
      <c r="K247" s="1">
        <v>45005.061111111114</v>
      </c>
      <c r="L247" t="s">
        <v>16</v>
      </c>
      <c r="M247" t="s">
        <v>20</v>
      </c>
    </row>
    <row r="248" spans="1:13" x14ac:dyDescent="0.3">
      <c r="A248" t="s">
        <v>276</v>
      </c>
      <c r="B248" t="s">
        <v>30</v>
      </c>
      <c r="C248" t="s">
        <v>32</v>
      </c>
      <c r="D248">
        <v>4.8099999999999996</v>
      </c>
      <c r="E248">
        <v>84</v>
      </c>
      <c r="F248">
        <v>12.46</v>
      </c>
      <c r="G248">
        <v>95</v>
      </c>
      <c r="H248" s="1">
        <v>45005.041666666664</v>
      </c>
      <c r="I248" s="1">
        <v>45005.1</v>
      </c>
      <c r="J248" s="1">
        <v>45005.038194444445</v>
      </c>
      <c r="K248" s="1">
        <v>45005.09652777778</v>
      </c>
      <c r="L248" t="s">
        <v>16</v>
      </c>
      <c r="M248" t="s">
        <v>20</v>
      </c>
    </row>
    <row r="249" spans="1:13" x14ac:dyDescent="0.3">
      <c r="A249" t="s">
        <v>277</v>
      </c>
      <c r="B249" t="s">
        <v>14</v>
      </c>
      <c r="C249" t="s">
        <v>36</v>
      </c>
      <c r="D249">
        <v>4.07</v>
      </c>
      <c r="E249">
        <v>51</v>
      </c>
      <c r="F249">
        <v>5.84</v>
      </c>
      <c r="G249">
        <v>91</v>
      </c>
      <c r="H249" s="1">
        <v>45005.048611111109</v>
      </c>
      <c r="I249" s="1">
        <v>45005.084027777775</v>
      </c>
      <c r="J249" s="1">
        <v>45005.046527777777</v>
      </c>
      <c r="K249" s="1">
        <v>45005.081944444442</v>
      </c>
      <c r="L249" t="s">
        <v>16</v>
      </c>
      <c r="M249" t="s">
        <v>20</v>
      </c>
    </row>
    <row r="250" spans="1:13" x14ac:dyDescent="0.3">
      <c r="A250" t="s">
        <v>278</v>
      </c>
      <c r="B250" t="s">
        <v>40</v>
      </c>
      <c r="C250" t="s">
        <v>32</v>
      </c>
      <c r="D250">
        <v>1.48</v>
      </c>
      <c r="E250">
        <v>67</v>
      </c>
      <c r="F250">
        <v>3.71</v>
      </c>
      <c r="G250">
        <v>94</v>
      </c>
      <c r="H250" s="1">
        <v>45005.055555555555</v>
      </c>
      <c r="I250" s="1">
        <v>45005.102083333331</v>
      </c>
      <c r="J250" s="1">
        <v>45005.055555555555</v>
      </c>
      <c r="K250" s="1">
        <v>45005.102083333331</v>
      </c>
      <c r="L250" t="s">
        <v>16</v>
      </c>
      <c r="M250" t="s">
        <v>28</v>
      </c>
    </row>
    <row r="251" spans="1:13" x14ac:dyDescent="0.3">
      <c r="A251" t="s">
        <v>279</v>
      </c>
      <c r="B251" t="s">
        <v>30</v>
      </c>
      <c r="C251" t="s">
        <v>32</v>
      </c>
      <c r="D251">
        <v>1.32</v>
      </c>
      <c r="E251">
        <v>79</v>
      </c>
      <c r="F251">
        <v>6.4</v>
      </c>
      <c r="G251">
        <v>96</v>
      </c>
      <c r="H251" s="1">
        <v>45005.0625</v>
      </c>
      <c r="I251" s="1">
        <v>45005.117361111108</v>
      </c>
      <c r="J251" s="1">
        <v>45005.05972222222</v>
      </c>
      <c r="K251" s="1">
        <v>45005.114583333336</v>
      </c>
      <c r="L251" t="s">
        <v>16</v>
      </c>
      <c r="M251" t="s">
        <v>20</v>
      </c>
    </row>
    <row r="252" spans="1:13" x14ac:dyDescent="0.3">
      <c r="A252" t="s">
        <v>280</v>
      </c>
      <c r="B252" t="s">
        <v>14</v>
      </c>
      <c r="C252" t="s">
        <v>32</v>
      </c>
      <c r="D252">
        <v>1.02</v>
      </c>
      <c r="E252">
        <v>21</v>
      </c>
      <c r="F252">
        <v>8.57</v>
      </c>
      <c r="G252">
        <v>89</v>
      </c>
      <c r="H252" s="1">
        <v>45005.069444444445</v>
      </c>
      <c r="I252" s="1">
        <v>45005.084027777775</v>
      </c>
      <c r="J252" s="1">
        <v>45005.067361111112</v>
      </c>
      <c r="K252" s="1">
        <v>45005.081944444442</v>
      </c>
      <c r="L252" t="s">
        <v>16</v>
      </c>
      <c r="M252" t="s">
        <v>20</v>
      </c>
    </row>
    <row r="253" spans="1:13" x14ac:dyDescent="0.3">
      <c r="A253" t="s">
        <v>281</v>
      </c>
      <c r="B253" t="s">
        <v>34</v>
      </c>
      <c r="C253" t="s">
        <v>32</v>
      </c>
      <c r="D253">
        <v>4.59</v>
      </c>
      <c r="E253">
        <v>38</v>
      </c>
      <c r="F253">
        <v>13.14</v>
      </c>
      <c r="G253">
        <v>96</v>
      </c>
      <c r="H253" s="1">
        <v>45005.076388888891</v>
      </c>
      <c r="I253" s="1">
        <v>45005.102777777778</v>
      </c>
      <c r="J253" s="1">
        <v>45005.073611111111</v>
      </c>
      <c r="K253" s="1">
        <v>45005.1</v>
      </c>
      <c r="L253" t="s">
        <v>16</v>
      </c>
      <c r="M253" t="s">
        <v>20</v>
      </c>
    </row>
    <row r="254" spans="1:13" x14ac:dyDescent="0.3">
      <c r="A254" t="s">
        <v>282</v>
      </c>
      <c r="B254" t="s">
        <v>14</v>
      </c>
      <c r="C254" t="s">
        <v>32</v>
      </c>
      <c r="D254">
        <v>4.49</v>
      </c>
      <c r="E254">
        <v>43</v>
      </c>
      <c r="F254">
        <v>9.9</v>
      </c>
      <c r="G254">
        <v>87</v>
      </c>
      <c r="H254" s="1">
        <v>45005.083333333336</v>
      </c>
      <c r="I254" s="1">
        <v>45005.113194444442</v>
      </c>
      <c r="J254" s="1">
        <v>45005.084027777775</v>
      </c>
      <c r="K254" s="1">
        <v>45005.113888888889</v>
      </c>
      <c r="L254" t="s">
        <v>16</v>
      </c>
      <c r="M254" t="s">
        <v>17</v>
      </c>
    </row>
    <row r="255" spans="1:13" x14ac:dyDescent="0.3">
      <c r="A255" t="s">
        <v>283</v>
      </c>
      <c r="B255" t="s">
        <v>34</v>
      </c>
      <c r="C255" t="s">
        <v>32</v>
      </c>
      <c r="D255">
        <v>1.32</v>
      </c>
      <c r="E255">
        <v>38</v>
      </c>
      <c r="F255">
        <v>14.38</v>
      </c>
      <c r="G255">
        <v>92</v>
      </c>
      <c r="H255" s="1">
        <v>45005.090277777781</v>
      </c>
      <c r="I255" s="1">
        <v>45005.116666666669</v>
      </c>
      <c r="J255" s="1">
        <v>45005.109722222223</v>
      </c>
      <c r="K255" s="1">
        <v>45005.136111111111</v>
      </c>
      <c r="L255" t="s">
        <v>19</v>
      </c>
      <c r="M255" t="s">
        <v>20</v>
      </c>
    </row>
    <row r="256" spans="1:13" x14ac:dyDescent="0.3">
      <c r="A256" t="s">
        <v>284</v>
      </c>
      <c r="B256" t="s">
        <v>14</v>
      </c>
      <c r="C256" t="s">
        <v>15</v>
      </c>
      <c r="D256">
        <v>1.82</v>
      </c>
      <c r="E256">
        <v>38</v>
      </c>
      <c r="F256">
        <v>11.78</v>
      </c>
      <c r="G256">
        <v>83</v>
      </c>
      <c r="H256" s="1">
        <v>45005.097222222219</v>
      </c>
      <c r="I256" s="1">
        <v>45005.123611111114</v>
      </c>
      <c r="J256" s="1">
        <v>45005.095833333333</v>
      </c>
      <c r="K256" s="1">
        <v>45005.12222222222</v>
      </c>
      <c r="L256" t="s">
        <v>16</v>
      </c>
      <c r="M256" t="s">
        <v>20</v>
      </c>
    </row>
    <row r="257" spans="1:13" x14ac:dyDescent="0.3">
      <c r="A257" t="s">
        <v>285</v>
      </c>
      <c r="B257" t="s">
        <v>14</v>
      </c>
      <c r="C257" t="s">
        <v>15</v>
      </c>
      <c r="D257">
        <v>1.73</v>
      </c>
      <c r="E257">
        <v>60</v>
      </c>
      <c r="F257">
        <v>4.8899999999999997</v>
      </c>
      <c r="G257">
        <v>82</v>
      </c>
      <c r="H257" s="1">
        <v>45005.104166666664</v>
      </c>
      <c r="I257" s="1">
        <v>45005.145833333336</v>
      </c>
      <c r="J257" s="1">
        <v>45005.104861111111</v>
      </c>
      <c r="K257" s="1">
        <v>45005.146527777775</v>
      </c>
      <c r="L257" t="s">
        <v>16</v>
      </c>
      <c r="M257" t="s">
        <v>28</v>
      </c>
    </row>
    <row r="258" spans="1:13" x14ac:dyDescent="0.3">
      <c r="A258" t="s">
        <v>286</v>
      </c>
      <c r="B258" t="s">
        <v>30</v>
      </c>
      <c r="C258" t="s">
        <v>23</v>
      </c>
      <c r="D258">
        <v>2.86</v>
      </c>
      <c r="E258">
        <v>120</v>
      </c>
      <c r="F258">
        <v>5.09</v>
      </c>
      <c r="G258">
        <v>82</v>
      </c>
      <c r="H258" s="1">
        <v>45005.111111111109</v>
      </c>
      <c r="I258" s="1">
        <v>45005.194444444445</v>
      </c>
      <c r="J258" s="1">
        <v>45005.112500000003</v>
      </c>
      <c r="K258" s="1">
        <v>45005.195833333331</v>
      </c>
      <c r="L258" t="s">
        <v>16</v>
      </c>
      <c r="M258" t="s">
        <v>28</v>
      </c>
    </row>
    <row r="259" spans="1:13" x14ac:dyDescent="0.3">
      <c r="A259" t="s">
        <v>287</v>
      </c>
      <c r="B259" t="s">
        <v>34</v>
      </c>
      <c r="C259" t="s">
        <v>36</v>
      </c>
      <c r="D259">
        <v>1.58</v>
      </c>
      <c r="E259">
        <v>28</v>
      </c>
      <c r="F259">
        <v>9.23</v>
      </c>
      <c r="G259">
        <v>88</v>
      </c>
      <c r="H259" s="1">
        <v>45005.118055555555</v>
      </c>
      <c r="I259" s="1">
        <v>45005.137499999997</v>
      </c>
      <c r="J259" s="1">
        <v>45005.117361111108</v>
      </c>
      <c r="K259" s="1">
        <v>45005.136805555558</v>
      </c>
      <c r="L259" t="s">
        <v>16</v>
      </c>
      <c r="M259" t="s">
        <v>20</v>
      </c>
    </row>
    <row r="260" spans="1:13" x14ac:dyDescent="0.3">
      <c r="A260" t="s">
        <v>288</v>
      </c>
      <c r="B260" t="s">
        <v>40</v>
      </c>
      <c r="C260" t="s">
        <v>27</v>
      </c>
      <c r="D260">
        <v>2.91</v>
      </c>
      <c r="E260">
        <v>24</v>
      </c>
      <c r="F260">
        <v>7.41</v>
      </c>
      <c r="G260">
        <v>95</v>
      </c>
      <c r="H260" s="1">
        <v>45005.125</v>
      </c>
      <c r="I260" s="1">
        <v>45005.14166666667</v>
      </c>
      <c r="J260" s="1">
        <v>45005.123611111114</v>
      </c>
      <c r="K260" s="1">
        <v>45005.140277777777</v>
      </c>
      <c r="L260" t="s">
        <v>16</v>
      </c>
      <c r="M260" t="s">
        <v>20</v>
      </c>
    </row>
    <row r="261" spans="1:13" x14ac:dyDescent="0.3">
      <c r="A261" t="s">
        <v>289</v>
      </c>
      <c r="B261" t="s">
        <v>22</v>
      </c>
      <c r="C261" t="s">
        <v>32</v>
      </c>
      <c r="D261">
        <v>4.3499999999999996</v>
      </c>
      <c r="E261">
        <v>47</v>
      </c>
      <c r="F261">
        <v>4.55</v>
      </c>
      <c r="G261">
        <v>95</v>
      </c>
      <c r="H261" s="1">
        <v>45005.131944444445</v>
      </c>
      <c r="I261" s="1">
        <v>45005.164583333331</v>
      </c>
      <c r="L261" t="s">
        <v>24</v>
      </c>
      <c r="M261" t="s">
        <v>20</v>
      </c>
    </row>
    <row r="262" spans="1:13" x14ac:dyDescent="0.3">
      <c r="A262" t="s">
        <v>290</v>
      </c>
      <c r="B262" t="s">
        <v>14</v>
      </c>
      <c r="C262" t="s">
        <v>36</v>
      </c>
      <c r="D262">
        <v>3.48</v>
      </c>
      <c r="E262">
        <v>104</v>
      </c>
      <c r="F262">
        <v>4.72</v>
      </c>
      <c r="G262">
        <v>88</v>
      </c>
      <c r="H262" s="1">
        <v>45005.138888888891</v>
      </c>
      <c r="I262" s="1">
        <v>45005.211111111108</v>
      </c>
      <c r="J262" s="1">
        <v>45005.154166666667</v>
      </c>
      <c r="K262" s="1">
        <v>45005.226388888892</v>
      </c>
      <c r="L262" t="s">
        <v>19</v>
      </c>
      <c r="M262" t="s">
        <v>20</v>
      </c>
    </row>
    <row r="263" spans="1:13" x14ac:dyDescent="0.3">
      <c r="A263" t="s">
        <v>291</v>
      </c>
      <c r="B263" t="s">
        <v>34</v>
      </c>
      <c r="C263" t="s">
        <v>15</v>
      </c>
      <c r="D263">
        <v>4.82</v>
      </c>
      <c r="E263">
        <v>114</v>
      </c>
      <c r="F263">
        <v>4.24</v>
      </c>
      <c r="G263">
        <v>90</v>
      </c>
      <c r="H263" s="1">
        <v>45005.145833333336</v>
      </c>
      <c r="I263" s="1">
        <v>45005.224999999999</v>
      </c>
      <c r="L263" t="s">
        <v>24</v>
      </c>
      <c r="M263" t="s">
        <v>20</v>
      </c>
    </row>
    <row r="264" spans="1:13" x14ac:dyDescent="0.3">
      <c r="A264" t="s">
        <v>292</v>
      </c>
      <c r="B264" t="s">
        <v>22</v>
      </c>
      <c r="C264" t="s">
        <v>27</v>
      </c>
      <c r="D264">
        <v>3.65</v>
      </c>
      <c r="E264">
        <v>38</v>
      </c>
      <c r="F264">
        <v>14.87</v>
      </c>
      <c r="G264">
        <v>80</v>
      </c>
      <c r="H264" s="1">
        <v>45005.152777777781</v>
      </c>
      <c r="I264" s="1">
        <v>45005.179166666669</v>
      </c>
      <c r="J264" s="1">
        <v>45005.154166666667</v>
      </c>
      <c r="K264" s="1">
        <v>45005.180555555555</v>
      </c>
      <c r="L264" t="s">
        <v>16</v>
      </c>
      <c r="M264" t="s">
        <v>17</v>
      </c>
    </row>
    <row r="265" spans="1:13" x14ac:dyDescent="0.3">
      <c r="A265" t="s">
        <v>293</v>
      </c>
      <c r="B265" t="s">
        <v>22</v>
      </c>
      <c r="C265" t="s">
        <v>15</v>
      </c>
      <c r="D265">
        <v>2.61</v>
      </c>
      <c r="E265">
        <v>72</v>
      </c>
      <c r="F265">
        <v>13.92</v>
      </c>
      <c r="G265">
        <v>86</v>
      </c>
      <c r="H265" s="1">
        <v>45005.159722222219</v>
      </c>
      <c r="I265" s="1">
        <v>45005.209722222222</v>
      </c>
      <c r="J265" s="1">
        <v>45005.177777777775</v>
      </c>
      <c r="K265" s="1">
        <v>45005.227777777778</v>
      </c>
      <c r="L265" t="s">
        <v>19</v>
      </c>
      <c r="M265" t="s">
        <v>20</v>
      </c>
    </row>
    <row r="266" spans="1:13" x14ac:dyDescent="0.3">
      <c r="A266" t="s">
        <v>294</v>
      </c>
      <c r="B266" t="s">
        <v>22</v>
      </c>
      <c r="C266" t="s">
        <v>32</v>
      </c>
      <c r="D266">
        <v>2.77</v>
      </c>
      <c r="E266">
        <v>97</v>
      </c>
      <c r="F266">
        <v>6.15</v>
      </c>
      <c r="G266">
        <v>82</v>
      </c>
      <c r="H266" s="1">
        <v>45005.166666666664</v>
      </c>
      <c r="I266" s="1">
        <v>45005.234027777777</v>
      </c>
      <c r="J266" s="1">
        <v>45005.165277777778</v>
      </c>
      <c r="K266" s="1">
        <v>45005.232638888891</v>
      </c>
      <c r="L266" t="s">
        <v>16</v>
      </c>
      <c r="M266" t="s">
        <v>20</v>
      </c>
    </row>
    <row r="267" spans="1:13" x14ac:dyDescent="0.3">
      <c r="A267" t="s">
        <v>295</v>
      </c>
      <c r="B267" t="s">
        <v>34</v>
      </c>
      <c r="C267" t="s">
        <v>32</v>
      </c>
      <c r="D267">
        <v>2.68</v>
      </c>
      <c r="E267">
        <v>96</v>
      </c>
      <c r="F267">
        <v>12.26</v>
      </c>
      <c r="G267">
        <v>96</v>
      </c>
      <c r="H267" s="1">
        <v>45005.173611111109</v>
      </c>
      <c r="I267" s="1">
        <v>45005.240277777775</v>
      </c>
      <c r="J267" s="1">
        <v>45005.182638888888</v>
      </c>
      <c r="K267" s="1">
        <v>45005.249305555553</v>
      </c>
      <c r="L267" t="s">
        <v>19</v>
      </c>
      <c r="M267" t="s">
        <v>20</v>
      </c>
    </row>
    <row r="268" spans="1:13" x14ac:dyDescent="0.3">
      <c r="A268" t="s">
        <v>296</v>
      </c>
      <c r="B268" t="s">
        <v>30</v>
      </c>
      <c r="C268" t="s">
        <v>36</v>
      </c>
      <c r="D268">
        <v>4.42</v>
      </c>
      <c r="E268">
        <v>101</v>
      </c>
      <c r="F268">
        <v>8.25</v>
      </c>
      <c r="G268">
        <v>80</v>
      </c>
      <c r="H268" s="1">
        <v>45005.180555555555</v>
      </c>
      <c r="I268" s="1">
        <v>45005.250694444447</v>
      </c>
      <c r="J268" s="1">
        <v>45005.179861111108</v>
      </c>
      <c r="K268" s="1">
        <v>45005.25</v>
      </c>
      <c r="L268" t="s">
        <v>16</v>
      </c>
      <c r="M268" t="s">
        <v>20</v>
      </c>
    </row>
    <row r="269" spans="1:13" x14ac:dyDescent="0.3">
      <c r="A269" t="s">
        <v>297</v>
      </c>
      <c r="B269" t="s">
        <v>22</v>
      </c>
      <c r="C269" t="s">
        <v>27</v>
      </c>
      <c r="D269">
        <v>4.24</v>
      </c>
      <c r="E269">
        <v>105</v>
      </c>
      <c r="F269">
        <v>6.98</v>
      </c>
      <c r="G269">
        <v>93</v>
      </c>
      <c r="H269" s="1">
        <v>45005.1875</v>
      </c>
      <c r="I269" s="1">
        <v>45005.260416666664</v>
      </c>
      <c r="J269" s="1">
        <v>45005.19027777778</v>
      </c>
      <c r="K269" s="1">
        <v>45005.263194444444</v>
      </c>
      <c r="L269" t="s">
        <v>16</v>
      </c>
      <c r="M269" t="s">
        <v>28</v>
      </c>
    </row>
    <row r="270" spans="1:13" x14ac:dyDescent="0.3">
      <c r="A270" t="s">
        <v>298</v>
      </c>
      <c r="B270" t="s">
        <v>14</v>
      </c>
      <c r="C270" t="s">
        <v>15</v>
      </c>
      <c r="D270">
        <v>1.49</v>
      </c>
      <c r="E270">
        <v>25</v>
      </c>
      <c r="F270">
        <v>4</v>
      </c>
      <c r="G270">
        <v>84</v>
      </c>
      <c r="H270" s="1">
        <v>45005.194444444445</v>
      </c>
      <c r="I270" s="1">
        <v>45005.211805555555</v>
      </c>
      <c r="J270" s="1">
        <v>45005.207638888889</v>
      </c>
      <c r="K270" s="1">
        <v>45005.224999999999</v>
      </c>
      <c r="L270" t="s">
        <v>19</v>
      </c>
      <c r="M270" t="s">
        <v>20</v>
      </c>
    </row>
    <row r="271" spans="1:13" x14ac:dyDescent="0.3">
      <c r="A271" t="s">
        <v>299</v>
      </c>
      <c r="B271" t="s">
        <v>22</v>
      </c>
      <c r="C271" t="s">
        <v>36</v>
      </c>
      <c r="D271">
        <v>4.32</v>
      </c>
      <c r="E271">
        <v>75</v>
      </c>
      <c r="F271">
        <v>14.44</v>
      </c>
      <c r="G271">
        <v>81</v>
      </c>
      <c r="H271" s="1">
        <v>45005.201388888891</v>
      </c>
      <c r="I271" s="1">
        <v>45005.253472222219</v>
      </c>
      <c r="J271" s="1">
        <v>45005.204861111109</v>
      </c>
      <c r="K271" s="1">
        <v>45005.256944444445</v>
      </c>
      <c r="L271" t="s">
        <v>16</v>
      </c>
      <c r="M271" t="s">
        <v>17</v>
      </c>
    </row>
    <row r="272" spans="1:13" x14ac:dyDescent="0.3">
      <c r="A272" t="s">
        <v>300</v>
      </c>
      <c r="B272" t="s">
        <v>14</v>
      </c>
      <c r="C272" t="s">
        <v>15</v>
      </c>
      <c r="D272">
        <v>1.78</v>
      </c>
      <c r="E272">
        <v>21</v>
      </c>
      <c r="F272">
        <v>7.47</v>
      </c>
      <c r="G272">
        <v>83</v>
      </c>
      <c r="H272" s="1">
        <v>45005.208333333336</v>
      </c>
      <c r="I272" s="1">
        <v>45005.222916666666</v>
      </c>
      <c r="J272" s="1">
        <v>45005.204861111109</v>
      </c>
      <c r="K272" s="1">
        <v>45005.219444444447</v>
      </c>
      <c r="L272" t="s">
        <v>16</v>
      </c>
      <c r="M272" t="s">
        <v>20</v>
      </c>
    </row>
    <row r="273" spans="1:13" x14ac:dyDescent="0.3">
      <c r="A273" t="s">
        <v>301</v>
      </c>
      <c r="B273" t="s">
        <v>22</v>
      </c>
      <c r="C273" t="s">
        <v>27</v>
      </c>
      <c r="D273">
        <v>3.17</v>
      </c>
      <c r="E273">
        <v>55</v>
      </c>
      <c r="F273">
        <v>13.68</v>
      </c>
      <c r="G273">
        <v>84</v>
      </c>
      <c r="H273" s="1">
        <v>45005.215277777781</v>
      </c>
      <c r="I273" s="1">
        <v>45005.253472222219</v>
      </c>
      <c r="J273" s="1">
        <v>45005.212500000001</v>
      </c>
      <c r="K273" s="1">
        <v>45005.250694444447</v>
      </c>
      <c r="L273" t="s">
        <v>16</v>
      </c>
      <c r="M273" t="s">
        <v>20</v>
      </c>
    </row>
    <row r="274" spans="1:13" x14ac:dyDescent="0.3">
      <c r="A274" t="s">
        <v>302</v>
      </c>
      <c r="B274" t="s">
        <v>14</v>
      </c>
      <c r="C274" t="s">
        <v>32</v>
      </c>
      <c r="D274">
        <v>3.08</v>
      </c>
      <c r="E274">
        <v>78</v>
      </c>
      <c r="F274">
        <v>5.42</v>
      </c>
      <c r="G274">
        <v>82</v>
      </c>
      <c r="H274" s="1">
        <v>45005.222222222219</v>
      </c>
      <c r="I274" s="1">
        <v>45005.276388888888</v>
      </c>
      <c r="J274" s="1">
        <v>45005.240277777775</v>
      </c>
      <c r="K274" s="1">
        <v>45005.294444444444</v>
      </c>
      <c r="L274" t="s">
        <v>19</v>
      </c>
      <c r="M274" t="s">
        <v>20</v>
      </c>
    </row>
    <row r="275" spans="1:13" x14ac:dyDescent="0.3">
      <c r="A275" t="s">
        <v>303</v>
      </c>
      <c r="B275" t="s">
        <v>34</v>
      </c>
      <c r="C275" t="s">
        <v>27</v>
      </c>
      <c r="D275">
        <v>2.17</v>
      </c>
      <c r="E275">
        <v>20</v>
      </c>
      <c r="F275">
        <v>4.29</v>
      </c>
      <c r="G275">
        <v>97</v>
      </c>
      <c r="H275" s="1">
        <v>45005.229166666664</v>
      </c>
      <c r="I275" s="1">
        <v>45005.243055555555</v>
      </c>
      <c r="J275" s="1">
        <v>45005.228472222225</v>
      </c>
      <c r="K275" s="1">
        <v>45005.242361111108</v>
      </c>
      <c r="L275" t="s">
        <v>16</v>
      </c>
      <c r="M275" t="s">
        <v>20</v>
      </c>
    </row>
    <row r="276" spans="1:13" x14ac:dyDescent="0.3">
      <c r="A276" t="s">
        <v>304</v>
      </c>
      <c r="B276" t="s">
        <v>40</v>
      </c>
      <c r="C276" t="s">
        <v>23</v>
      </c>
      <c r="D276">
        <v>3.21</v>
      </c>
      <c r="E276">
        <v>94</v>
      </c>
      <c r="F276">
        <v>14.67</v>
      </c>
      <c r="G276">
        <v>93</v>
      </c>
      <c r="H276" s="1">
        <v>45005.236111111109</v>
      </c>
      <c r="I276" s="1">
        <v>45005.301388888889</v>
      </c>
      <c r="J276" s="1">
        <v>45005.238888888889</v>
      </c>
      <c r="K276" s="1">
        <v>45005.304166666669</v>
      </c>
      <c r="L276" t="s">
        <v>16</v>
      </c>
      <c r="M276" t="s">
        <v>17</v>
      </c>
    </row>
    <row r="277" spans="1:13" x14ac:dyDescent="0.3">
      <c r="A277" t="s">
        <v>305</v>
      </c>
      <c r="B277" t="s">
        <v>30</v>
      </c>
      <c r="C277" t="s">
        <v>32</v>
      </c>
      <c r="D277">
        <v>2.96</v>
      </c>
      <c r="E277">
        <v>78</v>
      </c>
      <c r="F277">
        <v>4.2300000000000004</v>
      </c>
      <c r="G277">
        <v>95</v>
      </c>
      <c r="H277" s="1">
        <v>45005.243055555555</v>
      </c>
      <c r="I277" s="1">
        <v>45005.297222222223</v>
      </c>
      <c r="L277" t="s">
        <v>24</v>
      </c>
      <c r="M277" t="s">
        <v>20</v>
      </c>
    </row>
    <row r="278" spans="1:13" x14ac:dyDescent="0.3">
      <c r="A278" t="s">
        <v>306</v>
      </c>
      <c r="B278" t="s">
        <v>14</v>
      </c>
      <c r="C278" t="s">
        <v>27</v>
      </c>
      <c r="D278">
        <v>2</v>
      </c>
      <c r="E278">
        <v>76</v>
      </c>
      <c r="F278">
        <v>12.37</v>
      </c>
      <c r="G278">
        <v>88</v>
      </c>
      <c r="H278" s="1">
        <v>45005.25</v>
      </c>
      <c r="I278" s="1">
        <v>45005.302777777775</v>
      </c>
      <c r="J278" s="1">
        <v>45005.251388888886</v>
      </c>
      <c r="K278" s="1">
        <v>45005.304166666669</v>
      </c>
      <c r="L278" t="s">
        <v>16</v>
      </c>
      <c r="M278" t="s">
        <v>17</v>
      </c>
    </row>
    <row r="279" spans="1:13" x14ac:dyDescent="0.3">
      <c r="A279" t="s">
        <v>307</v>
      </c>
      <c r="B279" t="s">
        <v>40</v>
      </c>
      <c r="C279" t="s">
        <v>23</v>
      </c>
      <c r="D279">
        <v>2.08</v>
      </c>
      <c r="E279">
        <v>58</v>
      </c>
      <c r="F279">
        <v>14.2</v>
      </c>
      <c r="G279">
        <v>91</v>
      </c>
      <c r="H279" s="1">
        <v>45005.256944444445</v>
      </c>
      <c r="I279" s="1">
        <v>45005.297222222223</v>
      </c>
      <c r="J279" s="1">
        <v>45005.256944444445</v>
      </c>
      <c r="K279" s="1">
        <v>45005.297222222223</v>
      </c>
      <c r="L279" t="s">
        <v>16</v>
      </c>
      <c r="M279" t="s">
        <v>17</v>
      </c>
    </row>
    <row r="280" spans="1:13" x14ac:dyDescent="0.3">
      <c r="A280" t="s">
        <v>308</v>
      </c>
      <c r="B280" t="s">
        <v>22</v>
      </c>
      <c r="C280" t="s">
        <v>32</v>
      </c>
      <c r="D280">
        <v>2.15</v>
      </c>
      <c r="E280">
        <v>64</v>
      </c>
      <c r="F280">
        <v>2.4500000000000002</v>
      </c>
      <c r="G280">
        <v>81</v>
      </c>
      <c r="H280" s="1">
        <v>45005.263888888891</v>
      </c>
      <c r="I280" s="1">
        <v>45005.308333333334</v>
      </c>
      <c r="J280" s="1">
        <v>45005.265277777777</v>
      </c>
      <c r="K280" s="1">
        <v>45005.30972222222</v>
      </c>
      <c r="L280" t="s">
        <v>16</v>
      </c>
      <c r="M280" t="s">
        <v>28</v>
      </c>
    </row>
    <row r="281" spans="1:13" x14ac:dyDescent="0.3">
      <c r="A281" t="s">
        <v>309</v>
      </c>
      <c r="B281" t="s">
        <v>34</v>
      </c>
      <c r="C281" t="s">
        <v>36</v>
      </c>
      <c r="D281">
        <v>2.62</v>
      </c>
      <c r="E281">
        <v>66</v>
      </c>
      <c r="F281">
        <v>9.66</v>
      </c>
      <c r="G281">
        <v>89</v>
      </c>
      <c r="H281" s="1">
        <v>45005.270833333336</v>
      </c>
      <c r="I281" s="1">
        <v>45005.316666666666</v>
      </c>
      <c r="J281" s="1">
        <v>45005.268750000003</v>
      </c>
      <c r="K281" s="1">
        <v>45005.314583333333</v>
      </c>
      <c r="L281" t="s">
        <v>16</v>
      </c>
      <c r="M281" t="s">
        <v>20</v>
      </c>
    </row>
    <row r="282" spans="1:13" x14ac:dyDescent="0.3">
      <c r="A282" t="s">
        <v>310</v>
      </c>
      <c r="B282" t="s">
        <v>40</v>
      </c>
      <c r="C282" t="s">
        <v>27</v>
      </c>
      <c r="D282">
        <v>4.82</v>
      </c>
      <c r="E282">
        <v>59</v>
      </c>
      <c r="F282">
        <v>8.66</v>
      </c>
      <c r="G282">
        <v>95</v>
      </c>
      <c r="H282" s="1">
        <v>45005.277777777781</v>
      </c>
      <c r="I282" s="1">
        <v>45005.318749999999</v>
      </c>
      <c r="J282" s="1">
        <v>45005.27847222222</v>
      </c>
      <c r="K282" s="1">
        <v>45005.319444444445</v>
      </c>
      <c r="L282" t="s">
        <v>16</v>
      </c>
      <c r="M282" t="s">
        <v>28</v>
      </c>
    </row>
    <row r="283" spans="1:13" x14ac:dyDescent="0.3">
      <c r="A283" t="s">
        <v>311</v>
      </c>
      <c r="B283" t="s">
        <v>40</v>
      </c>
      <c r="C283" t="s">
        <v>27</v>
      </c>
      <c r="D283">
        <v>3.17</v>
      </c>
      <c r="E283">
        <v>30</v>
      </c>
      <c r="F283">
        <v>10.210000000000001</v>
      </c>
      <c r="G283">
        <v>88</v>
      </c>
      <c r="H283" s="1">
        <v>45005.284722222219</v>
      </c>
      <c r="I283" s="1">
        <v>45005.305555555555</v>
      </c>
      <c r="J283" s="1">
        <v>45005.286111111112</v>
      </c>
      <c r="K283" s="1">
        <v>45005.306944444441</v>
      </c>
      <c r="L283" t="s">
        <v>16</v>
      </c>
      <c r="M283" t="s">
        <v>17</v>
      </c>
    </row>
    <row r="284" spans="1:13" x14ac:dyDescent="0.3">
      <c r="A284" t="s">
        <v>312</v>
      </c>
      <c r="B284" t="s">
        <v>14</v>
      </c>
      <c r="C284" t="s">
        <v>23</v>
      </c>
      <c r="D284">
        <v>1.52</v>
      </c>
      <c r="E284">
        <v>37</v>
      </c>
      <c r="F284">
        <v>9.4700000000000006</v>
      </c>
      <c r="G284">
        <v>96</v>
      </c>
      <c r="H284" s="1">
        <v>45005.291666666664</v>
      </c>
      <c r="I284" s="1">
        <v>45005.317361111112</v>
      </c>
      <c r="J284" s="1">
        <v>45005.289583333331</v>
      </c>
      <c r="K284" s="1">
        <v>45005.31527777778</v>
      </c>
      <c r="L284" t="s">
        <v>16</v>
      </c>
      <c r="M284" t="s">
        <v>20</v>
      </c>
    </row>
    <row r="285" spans="1:13" x14ac:dyDescent="0.3">
      <c r="A285" t="s">
        <v>313</v>
      </c>
      <c r="B285" t="s">
        <v>30</v>
      </c>
      <c r="C285" t="s">
        <v>15</v>
      </c>
      <c r="D285">
        <v>3.32</v>
      </c>
      <c r="E285">
        <v>71</v>
      </c>
      <c r="F285">
        <v>13.8</v>
      </c>
      <c r="G285">
        <v>80</v>
      </c>
      <c r="H285" s="1">
        <v>45005.298611111109</v>
      </c>
      <c r="I285" s="1">
        <v>45005.347916666666</v>
      </c>
      <c r="J285" s="1">
        <v>45005.305555555555</v>
      </c>
      <c r="K285" s="1">
        <v>45005.354861111111</v>
      </c>
      <c r="L285" t="s">
        <v>19</v>
      </c>
      <c r="M285" t="s">
        <v>20</v>
      </c>
    </row>
    <row r="286" spans="1:13" x14ac:dyDescent="0.3">
      <c r="A286" t="s">
        <v>314</v>
      </c>
      <c r="B286" t="s">
        <v>14</v>
      </c>
      <c r="C286" t="s">
        <v>23</v>
      </c>
      <c r="D286">
        <v>3.25</v>
      </c>
      <c r="E286">
        <v>106</v>
      </c>
      <c r="F286">
        <v>13.31</v>
      </c>
      <c r="G286">
        <v>86</v>
      </c>
      <c r="H286" s="1">
        <v>45005.305555555555</v>
      </c>
      <c r="I286" s="1">
        <v>45005.379166666666</v>
      </c>
      <c r="J286" s="1">
        <v>45005.306944444441</v>
      </c>
      <c r="K286" s="1">
        <v>45005.380555555559</v>
      </c>
      <c r="L286" t="s">
        <v>16</v>
      </c>
      <c r="M286" t="s">
        <v>17</v>
      </c>
    </row>
    <row r="287" spans="1:13" x14ac:dyDescent="0.3">
      <c r="A287" t="s">
        <v>315</v>
      </c>
      <c r="B287" t="s">
        <v>22</v>
      </c>
      <c r="C287" t="s">
        <v>23</v>
      </c>
      <c r="D287">
        <v>3.22</v>
      </c>
      <c r="E287">
        <v>107</v>
      </c>
      <c r="F287">
        <v>6.69</v>
      </c>
      <c r="G287">
        <v>91</v>
      </c>
      <c r="H287" s="1">
        <v>45005.3125</v>
      </c>
      <c r="I287" s="1">
        <v>45005.386805555558</v>
      </c>
      <c r="J287" s="1">
        <v>45005.313194444447</v>
      </c>
      <c r="K287" s="1">
        <v>45005.387499999997</v>
      </c>
      <c r="L287" t="s">
        <v>16</v>
      </c>
      <c r="M287" t="s">
        <v>28</v>
      </c>
    </row>
    <row r="288" spans="1:13" x14ac:dyDescent="0.3">
      <c r="A288" t="s">
        <v>316</v>
      </c>
      <c r="B288" t="s">
        <v>30</v>
      </c>
      <c r="C288" t="s">
        <v>27</v>
      </c>
      <c r="D288">
        <v>3.31</v>
      </c>
      <c r="E288">
        <v>95</v>
      </c>
      <c r="F288">
        <v>5.56</v>
      </c>
      <c r="G288">
        <v>85</v>
      </c>
      <c r="H288" s="1">
        <v>45005.319444444445</v>
      </c>
      <c r="I288" s="1">
        <v>45005.385416666664</v>
      </c>
      <c r="J288" s="1">
        <v>45005.322916666664</v>
      </c>
      <c r="K288" s="1">
        <v>45005.388888888891</v>
      </c>
      <c r="L288" t="s">
        <v>16</v>
      </c>
      <c r="M288" t="s">
        <v>28</v>
      </c>
    </row>
    <row r="289" spans="1:13" x14ac:dyDescent="0.3">
      <c r="A289" t="s">
        <v>317</v>
      </c>
      <c r="B289" t="s">
        <v>30</v>
      </c>
      <c r="C289" t="s">
        <v>23</v>
      </c>
      <c r="D289">
        <v>2.97</v>
      </c>
      <c r="E289">
        <v>36</v>
      </c>
      <c r="F289">
        <v>6.56</v>
      </c>
      <c r="G289">
        <v>82</v>
      </c>
      <c r="H289" s="1">
        <v>45005.326388888891</v>
      </c>
      <c r="I289" s="1">
        <v>45005.351388888892</v>
      </c>
      <c r="J289" s="1">
        <v>45005.329861111109</v>
      </c>
      <c r="K289" s="1">
        <v>45005.354861111111</v>
      </c>
      <c r="L289" t="s">
        <v>16</v>
      </c>
      <c r="M289" t="s">
        <v>28</v>
      </c>
    </row>
    <row r="290" spans="1:13" x14ac:dyDescent="0.3">
      <c r="A290" t="s">
        <v>318</v>
      </c>
      <c r="B290" t="s">
        <v>30</v>
      </c>
      <c r="C290" t="s">
        <v>15</v>
      </c>
      <c r="D290">
        <v>1.49</v>
      </c>
      <c r="E290">
        <v>97</v>
      </c>
      <c r="F290">
        <v>5.47</v>
      </c>
      <c r="G290">
        <v>81</v>
      </c>
      <c r="H290" s="1">
        <v>45005.333333333336</v>
      </c>
      <c r="I290" s="1">
        <v>45005.400694444441</v>
      </c>
      <c r="J290" s="1">
        <v>45005.331944444442</v>
      </c>
      <c r="K290" s="1">
        <v>45005.399305555555</v>
      </c>
      <c r="L290" t="s">
        <v>16</v>
      </c>
      <c r="M290" t="s">
        <v>20</v>
      </c>
    </row>
    <row r="291" spans="1:13" x14ac:dyDescent="0.3">
      <c r="A291" t="s">
        <v>319</v>
      </c>
      <c r="B291" t="s">
        <v>34</v>
      </c>
      <c r="C291" t="s">
        <v>15</v>
      </c>
      <c r="D291">
        <v>3.82</v>
      </c>
      <c r="E291">
        <v>81</v>
      </c>
      <c r="F291">
        <v>10.72</v>
      </c>
      <c r="G291">
        <v>99</v>
      </c>
      <c r="H291" s="1">
        <v>45005.340277777781</v>
      </c>
      <c r="I291" s="1">
        <v>45005.396527777775</v>
      </c>
      <c r="J291" s="1">
        <v>45005.341666666667</v>
      </c>
      <c r="K291" s="1">
        <v>45005.397916666669</v>
      </c>
      <c r="L291" t="s">
        <v>16</v>
      </c>
      <c r="M291" t="s">
        <v>17</v>
      </c>
    </row>
    <row r="292" spans="1:13" x14ac:dyDescent="0.3">
      <c r="A292" t="s">
        <v>320</v>
      </c>
      <c r="B292" t="s">
        <v>40</v>
      </c>
      <c r="C292" t="s">
        <v>32</v>
      </c>
      <c r="D292">
        <v>5</v>
      </c>
      <c r="E292">
        <v>26</v>
      </c>
      <c r="F292">
        <v>12.76</v>
      </c>
      <c r="G292">
        <v>95</v>
      </c>
      <c r="H292" s="1">
        <v>45005.347222222219</v>
      </c>
      <c r="I292" s="1">
        <v>45005.365277777775</v>
      </c>
      <c r="J292" s="1">
        <v>45005.347222222219</v>
      </c>
      <c r="K292" s="1">
        <v>45005.365277777775</v>
      </c>
      <c r="L292" t="s">
        <v>16</v>
      </c>
      <c r="M292" t="s">
        <v>17</v>
      </c>
    </row>
    <row r="293" spans="1:13" x14ac:dyDescent="0.3">
      <c r="A293" t="s">
        <v>321</v>
      </c>
      <c r="B293" t="s">
        <v>22</v>
      </c>
      <c r="C293" t="s">
        <v>23</v>
      </c>
      <c r="D293">
        <v>2.41</v>
      </c>
      <c r="E293">
        <v>93</v>
      </c>
      <c r="F293">
        <v>9.8000000000000007</v>
      </c>
      <c r="G293">
        <v>91</v>
      </c>
      <c r="H293" s="1">
        <v>45005.354166666664</v>
      </c>
      <c r="I293" s="1">
        <v>45005.418749999997</v>
      </c>
      <c r="J293" s="1">
        <v>45005.356944444444</v>
      </c>
      <c r="K293" s="1">
        <v>45005.421527777777</v>
      </c>
      <c r="L293" t="s">
        <v>16</v>
      </c>
      <c r="M293" t="s">
        <v>17</v>
      </c>
    </row>
    <row r="294" spans="1:13" x14ac:dyDescent="0.3">
      <c r="A294" t="s">
        <v>322</v>
      </c>
      <c r="B294" t="s">
        <v>22</v>
      </c>
      <c r="C294" t="s">
        <v>36</v>
      </c>
      <c r="D294">
        <v>1.8</v>
      </c>
      <c r="E294">
        <v>103</v>
      </c>
      <c r="F294">
        <v>13.09</v>
      </c>
      <c r="G294">
        <v>82</v>
      </c>
      <c r="H294" s="1">
        <v>45005.361111111109</v>
      </c>
      <c r="I294" s="1">
        <v>45005.432638888888</v>
      </c>
      <c r="J294" s="1">
        <v>45005.35833333333</v>
      </c>
      <c r="K294" s="1">
        <v>45005.429861111108</v>
      </c>
      <c r="L294" t="s">
        <v>16</v>
      </c>
      <c r="M294" t="s">
        <v>20</v>
      </c>
    </row>
    <row r="295" spans="1:13" x14ac:dyDescent="0.3">
      <c r="A295" t="s">
        <v>323</v>
      </c>
      <c r="B295" t="s">
        <v>40</v>
      </c>
      <c r="C295" t="s">
        <v>36</v>
      </c>
      <c r="D295">
        <v>4.2699999999999996</v>
      </c>
      <c r="E295">
        <v>90</v>
      </c>
      <c r="F295">
        <v>6.74</v>
      </c>
      <c r="G295">
        <v>87</v>
      </c>
      <c r="H295" s="1">
        <v>45005.368055555555</v>
      </c>
      <c r="I295" s="1">
        <v>45005.430555555555</v>
      </c>
      <c r="J295" s="1">
        <v>45005.367361111108</v>
      </c>
      <c r="K295" s="1">
        <v>45005.429861111108</v>
      </c>
      <c r="L295" t="s">
        <v>16</v>
      </c>
      <c r="M295" t="s">
        <v>20</v>
      </c>
    </row>
    <row r="296" spans="1:13" x14ac:dyDescent="0.3">
      <c r="A296" t="s">
        <v>324</v>
      </c>
      <c r="B296" t="s">
        <v>30</v>
      </c>
      <c r="C296" t="s">
        <v>23</v>
      </c>
      <c r="D296">
        <v>2.46</v>
      </c>
      <c r="E296">
        <v>39</v>
      </c>
      <c r="F296">
        <v>10.97</v>
      </c>
      <c r="G296">
        <v>96</v>
      </c>
      <c r="H296" s="1">
        <v>45005.375</v>
      </c>
      <c r="I296" s="1">
        <v>45005.402083333334</v>
      </c>
      <c r="J296" s="1">
        <v>45005.37777777778</v>
      </c>
      <c r="K296" s="1">
        <v>45005.404861111114</v>
      </c>
      <c r="L296" t="s">
        <v>16</v>
      </c>
      <c r="M296" t="s">
        <v>17</v>
      </c>
    </row>
    <row r="297" spans="1:13" x14ac:dyDescent="0.3">
      <c r="A297" t="s">
        <v>325</v>
      </c>
      <c r="B297" t="s">
        <v>40</v>
      </c>
      <c r="C297" t="s">
        <v>23</v>
      </c>
      <c r="D297">
        <v>2.96</v>
      </c>
      <c r="E297">
        <v>76</v>
      </c>
      <c r="F297">
        <v>13.25</v>
      </c>
      <c r="G297">
        <v>88</v>
      </c>
      <c r="H297" s="1">
        <v>45005.381944444445</v>
      </c>
      <c r="I297" s="1">
        <v>45005.43472222222</v>
      </c>
      <c r="L297" t="s">
        <v>24</v>
      </c>
      <c r="M297" t="s">
        <v>20</v>
      </c>
    </row>
    <row r="298" spans="1:13" x14ac:dyDescent="0.3">
      <c r="A298" t="s">
        <v>326</v>
      </c>
      <c r="B298" t="s">
        <v>14</v>
      </c>
      <c r="C298" t="s">
        <v>15</v>
      </c>
      <c r="D298">
        <v>2.14</v>
      </c>
      <c r="E298">
        <v>79</v>
      </c>
      <c r="F298">
        <v>2.0499999999999998</v>
      </c>
      <c r="G298">
        <v>80</v>
      </c>
      <c r="H298" s="1">
        <v>45005.388888888891</v>
      </c>
      <c r="I298" s="1">
        <v>45005.443749999999</v>
      </c>
      <c r="J298" s="1">
        <v>45005.407638888886</v>
      </c>
      <c r="K298" s="1">
        <v>45005.462500000001</v>
      </c>
      <c r="L298" t="s">
        <v>19</v>
      </c>
      <c r="M298" t="s">
        <v>20</v>
      </c>
    </row>
    <row r="299" spans="1:13" x14ac:dyDescent="0.3">
      <c r="A299" t="s">
        <v>327</v>
      </c>
      <c r="B299" t="s">
        <v>22</v>
      </c>
      <c r="C299" t="s">
        <v>23</v>
      </c>
      <c r="D299">
        <v>2.19</v>
      </c>
      <c r="E299">
        <v>116</v>
      </c>
      <c r="F299">
        <v>4.79</v>
      </c>
      <c r="G299">
        <v>95</v>
      </c>
      <c r="H299" s="1">
        <v>45005.395833333336</v>
      </c>
      <c r="I299" s="1">
        <v>45005.476388888892</v>
      </c>
      <c r="J299" s="1">
        <v>45005.395138888889</v>
      </c>
      <c r="K299" s="1">
        <v>45005.475694444445</v>
      </c>
      <c r="L299" t="s">
        <v>16</v>
      </c>
      <c r="M299" t="s">
        <v>20</v>
      </c>
    </row>
    <row r="300" spans="1:13" x14ac:dyDescent="0.3">
      <c r="A300" t="s">
        <v>328</v>
      </c>
      <c r="B300" t="s">
        <v>22</v>
      </c>
      <c r="C300" t="s">
        <v>36</v>
      </c>
      <c r="D300">
        <v>1.42</v>
      </c>
      <c r="E300">
        <v>23</v>
      </c>
      <c r="F300">
        <v>3.92</v>
      </c>
      <c r="G300">
        <v>88</v>
      </c>
      <c r="H300" s="1">
        <v>45005.402777777781</v>
      </c>
      <c r="I300" s="1">
        <v>45005.418749999997</v>
      </c>
      <c r="J300" s="1">
        <v>45005.418055555558</v>
      </c>
      <c r="K300" s="1">
        <v>45005.434027777781</v>
      </c>
      <c r="L300" t="s">
        <v>19</v>
      </c>
      <c r="M300" t="s">
        <v>20</v>
      </c>
    </row>
    <row r="301" spans="1:13" x14ac:dyDescent="0.3">
      <c r="A301" t="s">
        <v>329</v>
      </c>
      <c r="B301" t="s">
        <v>22</v>
      </c>
      <c r="C301" t="s">
        <v>23</v>
      </c>
      <c r="D301">
        <v>3.42</v>
      </c>
      <c r="E301">
        <v>20</v>
      </c>
      <c r="F301">
        <v>6.24</v>
      </c>
      <c r="G301">
        <v>92</v>
      </c>
      <c r="H301" s="1">
        <v>45005.409722222219</v>
      </c>
      <c r="I301" s="1">
        <v>45005.423611111109</v>
      </c>
      <c r="J301" s="1">
        <v>45005.410416666666</v>
      </c>
      <c r="K301" s="1">
        <v>45005.424305555556</v>
      </c>
      <c r="L301" t="s">
        <v>16</v>
      </c>
      <c r="M301" t="s">
        <v>28</v>
      </c>
    </row>
    <row r="302" spans="1:13" x14ac:dyDescent="0.3">
      <c r="A302" t="s">
        <v>330</v>
      </c>
      <c r="B302" t="s">
        <v>30</v>
      </c>
      <c r="C302" t="s">
        <v>36</v>
      </c>
      <c r="D302">
        <v>3.16</v>
      </c>
      <c r="E302">
        <v>87</v>
      </c>
      <c r="F302">
        <v>5.09</v>
      </c>
      <c r="G302">
        <v>92</v>
      </c>
      <c r="H302" s="1">
        <v>45005.416666666664</v>
      </c>
      <c r="I302" s="1">
        <v>45005.477083333331</v>
      </c>
      <c r="J302" s="1">
        <v>45005.418749999997</v>
      </c>
      <c r="K302" s="1">
        <v>45005.479166666664</v>
      </c>
      <c r="L302" t="s">
        <v>16</v>
      </c>
      <c r="M302" t="s">
        <v>28</v>
      </c>
    </row>
    <row r="303" spans="1:13" x14ac:dyDescent="0.3">
      <c r="A303" t="s">
        <v>331</v>
      </c>
      <c r="B303" t="s">
        <v>22</v>
      </c>
      <c r="C303" t="s">
        <v>36</v>
      </c>
      <c r="D303">
        <v>2.25</v>
      </c>
      <c r="E303">
        <v>52</v>
      </c>
      <c r="F303">
        <v>14.65</v>
      </c>
      <c r="G303">
        <v>98</v>
      </c>
      <c r="H303" s="1">
        <v>45005.423611111109</v>
      </c>
      <c r="I303" s="1">
        <v>45005.459722222222</v>
      </c>
      <c r="J303" s="1">
        <v>45005.438888888886</v>
      </c>
      <c r="K303" s="1">
        <v>45005.474999999999</v>
      </c>
      <c r="L303" t="s">
        <v>19</v>
      </c>
      <c r="M303" t="s">
        <v>20</v>
      </c>
    </row>
    <row r="304" spans="1:13" x14ac:dyDescent="0.3">
      <c r="A304" t="s">
        <v>332</v>
      </c>
      <c r="B304" t="s">
        <v>34</v>
      </c>
      <c r="C304" t="s">
        <v>23</v>
      </c>
      <c r="D304">
        <v>1.5</v>
      </c>
      <c r="E304">
        <v>38</v>
      </c>
      <c r="F304">
        <v>6.46</v>
      </c>
      <c r="G304">
        <v>96</v>
      </c>
      <c r="H304" s="1">
        <v>45005.430555555555</v>
      </c>
      <c r="I304" s="1">
        <v>45005.456944444442</v>
      </c>
      <c r="J304" s="1">
        <v>45005.429166666669</v>
      </c>
      <c r="K304" s="1">
        <v>45005.455555555556</v>
      </c>
      <c r="L304" t="s">
        <v>16</v>
      </c>
      <c r="M304" t="s">
        <v>20</v>
      </c>
    </row>
    <row r="305" spans="1:13" x14ac:dyDescent="0.3">
      <c r="A305" t="s">
        <v>333</v>
      </c>
      <c r="B305" t="s">
        <v>40</v>
      </c>
      <c r="C305" t="s">
        <v>36</v>
      </c>
      <c r="D305">
        <v>1.07</v>
      </c>
      <c r="E305">
        <v>75</v>
      </c>
      <c r="F305">
        <v>6.02</v>
      </c>
      <c r="G305">
        <v>99</v>
      </c>
      <c r="H305" s="1">
        <v>45005.4375</v>
      </c>
      <c r="I305" s="1">
        <v>45005.489583333336</v>
      </c>
      <c r="J305" s="1">
        <v>45005.434027777781</v>
      </c>
      <c r="K305" s="1">
        <v>45005.486111111109</v>
      </c>
      <c r="L305" t="s">
        <v>16</v>
      </c>
      <c r="M305" t="s">
        <v>20</v>
      </c>
    </row>
    <row r="306" spans="1:13" x14ac:dyDescent="0.3">
      <c r="A306" t="s">
        <v>334</v>
      </c>
      <c r="B306" t="s">
        <v>34</v>
      </c>
      <c r="C306" t="s">
        <v>23</v>
      </c>
      <c r="D306">
        <v>4.33</v>
      </c>
      <c r="E306">
        <v>89</v>
      </c>
      <c r="F306">
        <v>12.46</v>
      </c>
      <c r="G306">
        <v>81</v>
      </c>
      <c r="H306" s="1">
        <v>45005.444444444445</v>
      </c>
      <c r="I306" s="1">
        <v>45005.506249999999</v>
      </c>
      <c r="J306" s="1">
        <v>45005.444444444445</v>
      </c>
      <c r="K306" s="1">
        <v>45005.506249999999</v>
      </c>
      <c r="L306" t="s">
        <v>16</v>
      </c>
      <c r="M306" t="s">
        <v>17</v>
      </c>
    </row>
    <row r="307" spans="1:13" x14ac:dyDescent="0.3">
      <c r="A307" t="s">
        <v>335</v>
      </c>
      <c r="B307" t="s">
        <v>40</v>
      </c>
      <c r="C307" t="s">
        <v>27</v>
      </c>
      <c r="D307">
        <v>2.92</v>
      </c>
      <c r="E307">
        <v>77</v>
      </c>
      <c r="F307">
        <v>9.4600000000000009</v>
      </c>
      <c r="G307">
        <v>99</v>
      </c>
      <c r="H307" s="1">
        <v>45005.451388888891</v>
      </c>
      <c r="I307" s="1">
        <v>45005.504861111112</v>
      </c>
      <c r="J307" s="1">
        <v>45005.449305555558</v>
      </c>
      <c r="K307" s="1">
        <v>45005.50277777778</v>
      </c>
      <c r="L307" t="s">
        <v>16</v>
      </c>
      <c r="M307" t="s">
        <v>20</v>
      </c>
    </row>
    <row r="308" spans="1:13" x14ac:dyDescent="0.3">
      <c r="A308" t="s">
        <v>336</v>
      </c>
      <c r="B308" t="s">
        <v>30</v>
      </c>
      <c r="C308" t="s">
        <v>27</v>
      </c>
      <c r="D308">
        <v>3.25</v>
      </c>
      <c r="E308">
        <v>89</v>
      </c>
      <c r="F308">
        <v>6.97</v>
      </c>
      <c r="G308">
        <v>98</v>
      </c>
      <c r="H308" s="1">
        <v>45005.458333333336</v>
      </c>
      <c r="I308" s="1">
        <v>45005.520138888889</v>
      </c>
      <c r="J308" s="1">
        <v>45005.472916666666</v>
      </c>
      <c r="K308" s="1">
        <v>45005.534722222219</v>
      </c>
      <c r="L308" t="s">
        <v>19</v>
      </c>
      <c r="M308" t="s">
        <v>20</v>
      </c>
    </row>
    <row r="309" spans="1:13" x14ac:dyDescent="0.3">
      <c r="A309" t="s">
        <v>337</v>
      </c>
      <c r="B309" t="s">
        <v>14</v>
      </c>
      <c r="C309" t="s">
        <v>23</v>
      </c>
      <c r="D309">
        <v>1.25</v>
      </c>
      <c r="E309">
        <v>50</v>
      </c>
      <c r="F309">
        <v>3.41</v>
      </c>
      <c r="G309">
        <v>80</v>
      </c>
      <c r="H309" s="1">
        <v>45005.465277777781</v>
      </c>
      <c r="I309" s="1">
        <v>45005.5</v>
      </c>
      <c r="J309" s="1">
        <v>45005.465277777781</v>
      </c>
      <c r="K309" s="1">
        <v>45005.5</v>
      </c>
      <c r="L309" t="s">
        <v>16</v>
      </c>
      <c r="M309" t="s">
        <v>28</v>
      </c>
    </row>
    <row r="310" spans="1:13" x14ac:dyDescent="0.3">
      <c r="A310" t="s">
        <v>338</v>
      </c>
      <c r="B310" t="s">
        <v>40</v>
      </c>
      <c r="C310" t="s">
        <v>23</v>
      </c>
      <c r="D310">
        <v>3.07</v>
      </c>
      <c r="E310">
        <v>71</v>
      </c>
      <c r="F310">
        <v>11.53</v>
      </c>
      <c r="G310">
        <v>82</v>
      </c>
      <c r="H310" s="1">
        <v>45005.472222222219</v>
      </c>
      <c r="I310" s="1">
        <v>45005.521527777775</v>
      </c>
      <c r="J310" s="1">
        <v>45005.479861111111</v>
      </c>
      <c r="K310" s="1">
        <v>45005.529166666667</v>
      </c>
      <c r="L310" t="s">
        <v>19</v>
      </c>
      <c r="M310" t="s">
        <v>20</v>
      </c>
    </row>
    <row r="311" spans="1:13" x14ac:dyDescent="0.3">
      <c r="A311" t="s">
        <v>339</v>
      </c>
      <c r="B311" t="s">
        <v>22</v>
      </c>
      <c r="C311" t="s">
        <v>15</v>
      </c>
      <c r="D311">
        <v>2.35</v>
      </c>
      <c r="E311">
        <v>50</v>
      </c>
      <c r="F311">
        <v>8.24</v>
      </c>
      <c r="G311">
        <v>94</v>
      </c>
      <c r="H311" s="1">
        <v>45005.479166666664</v>
      </c>
      <c r="I311" s="1">
        <v>45005.513888888891</v>
      </c>
      <c r="J311" s="1">
        <v>45005.478472222225</v>
      </c>
      <c r="K311" s="1">
        <v>45005.513194444444</v>
      </c>
      <c r="L311" t="s">
        <v>16</v>
      </c>
      <c r="M311" t="s">
        <v>20</v>
      </c>
    </row>
    <row r="312" spans="1:13" x14ac:dyDescent="0.3">
      <c r="A312" t="s">
        <v>340</v>
      </c>
      <c r="B312" t="s">
        <v>30</v>
      </c>
      <c r="C312" t="s">
        <v>32</v>
      </c>
      <c r="D312">
        <v>3.76</v>
      </c>
      <c r="E312">
        <v>85</v>
      </c>
      <c r="F312">
        <v>13.06</v>
      </c>
      <c r="G312">
        <v>87</v>
      </c>
      <c r="H312" s="1">
        <v>45005.486111111109</v>
      </c>
      <c r="I312" s="1">
        <v>45005.545138888891</v>
      </c>
      <c r="L312" t="s">
        <v>24</v>
      </c>
      <c r="M312" t="s">
        <v>20</v>
      </c>
    </row>
    <row r="313" spans="1:13" x14ac:dyDescent="0.3">
      <c r="A313" t="s">
        <v>341</v>
      </c>
      <c r="B313" t="s">
        <v>22</v>
      </c>
      <c r="C313" t="s">
        <v>36</v>
      </c>
      <c r="D313">
        <v>2.86</v>
      </c>
      <c r="E313">
        <v>95</v>
      </c>
      <c r="F313">
        <v>6.84</v>
      </c>
      <c r="G313">
        <v>97</v>
      </c>
      <c r="H313" s="1">
        <v>45005.493055555555</v>
      </c>
      <c r="I313" s="1">
        <v>45005.559027777781</v>
      </c>
      <c r="L313" t="s">
        <v>24</v>
      </c>
      <c r="M313" t="s">
        <v>20</v>
      </c>
    </row>
    <row r="314" spans="1:13" x14ac:dyDescent="0.3">
      <c r="A314" t="s">
        <v>342</v>
      </c>
      <c r="B314" t="s">
        <v>34</v>
      </c>
      <c r="C314" t="s">
        <v>32</v>
      </c>
      <c r="D314">
        <v>2.52</v>
      </c>
      <c r="E314">
        <v>59</v>
      </c>
      <c r="F314">
        <v>4.6500000000000004</v>
      </c>
      <c r="G314">
        <v>94</v>
      </c>
      <c r="H314" s="1">
        <v>45005.5</v>
      </c>
      <c r="I314" s="1">
        <v>45005.540972222225</v>
      </c>
      <c r="L314" t="s">
        <v>24</v>
      </c>
      <c r="M314" t="s">
        <v>20</v>
      </c>
    </row>
    <row r="315" spans="1:13" x14ac:dyDescent="0.3">
      <c r="A315" t="s">
        <v>343</v>
      </c>
      <c r="B315" t="s">
        <v>34</v>
      </c>
      <c r="C315" t="s">
        <v>15</v>
      </c>
      <c r="D315">
        <v>4.3899999999999997</v>
      </c>
      <c r="E315">
        <v>113</v>
      </c>
      <c r="F315">
        <v>10.52</v>
      </c>
      <c r="G315">
        <v>80</v>
      </c>
      <c r="H315" s="1">
        <v>45005.506944444445</v>
      </c>
      <c r="I315" s="1">
        <v>45005.585416666669</v>
      </c>
      <c r="J315" s="1">
        <v>45005.509027777778</v>
      </c>
      <c r="K315" s="1">
        <v>45005.587500000001</v>
      </c>
      <c r="L315" t="s">
        <v>16</v>
      </c>
      <c r="M315" t="s">
        <v>17</v>
      </c>
    </row>
    <row r="316" spans="1:13" x14ac:dyDescent="0.3">
      <c r="A316" t="s">
        <v>344</v>
      </c>
      <c r="B316" t="s">
        <v>34</v>
      </c>
      <c r="C316" t="s">
        <v>15</v>
      </c>
      <c r="D316">
        <v>4.4000000000000004</v>
      </c>
      <c r="E316">
        <v>51</v>
      </c>
      <c r="F316">
        <v>4.67</v>
      </c>
      <c r="G316">
        <v>91</v>
      </c>
      <c r="H316" s="1">
        <v>45005.513888888891</v>
      </c>
      <c r="I316" s="1">
        <v>45005.549305555556</v>
      </c>
      <c r="J316" s="1">
        <v>45005.513888888891</v>
      </c>
      <c r="K316" s="1">
        <v>45005.549305555556</v>
      </c>
      <c r="L316" t="s">
        <v>16</v>
      </c>
      <c r="M316" t="s">
        <v>28</v>
      </c>
    </row>
    <row r="317" spans="1:13" x14ac:dyDescent="0.3">
      <c r="A317" t="s">
        <v>345</v>
      </c>
      <c r="B317" t="s">
        <v>30</v>
      </c>
      <c r="C317" t="s">
        <v>32</v>
      </c>
      <c r="D317">
        <v>3.4</v>
      </c>
      <c r="E317">
        <v>105</v>
      </c>
      <c r="F317">
        <v>14.25</v>
      </c>
      <c r="G317">
        <v>87</v>
      </c>
      <c r="H317" s="1">
        <v>45005.520833333336</v>
      </c>
      <c r="I317" s="1">
        <v>45005.59375</v>
      </c>
      <c r="J317" s="1">
        <v>45005.522222222222</v>
      </c>
      <c r="K317" s="1">
        <v>45005.595138888886</v>
      </c>
      <c r="L317" t="s">
        <v>16</v>
      </c>
      <c r="M317" t="s">
        <v>17</v>
      </c>
    </row>
    <row r="318" spans="1:13" x14ac:dyDescent="0.3">
      <c r="A318" t="s">
        <v>346</v>
      </c>
      <c r="B318" t="s">
        <v>34</v>
      </c>
      <c r="C318" t="s">
        <v>23</v>
      </c>
      <c r="D318">
        <v>4.7699999999999996</v>
      </c>
      <c r="E318">
        <v>70</v>
      </c>
      <c r="F318">
        <v>4.67</v>
      </c>
      <c r="G318">
        <v>88</v>
      </c>
      <c r="H318" s="1">
        <v>45005.527777777781</v>
      </c>
      <c r="I318" s="1">
        <v>45005.576388888891</v>
      </c>
      <c r="J318" s="1">
        <v>45005.527083333334</v>
      </c>
      <c r="K318" s="1">
        <v>45005.575694444444</v>
      </c>
      <c r="L318" t="s">
        <v>16</v>
      </c>
      <c r="M318" t="s">
        <v>20</v>
      </c>
    </row>
    <row r="319" spans="1:13" x14ac:dyDescent="0.3">
      <c r="A319" t="s">
        <v>347</v>
      </c>
      <c r="B319" t="s">
        <v>30</v>
      </c>
      <c r="C319" t="s">
        <v>36</v>
      </c>
      <c r="D319">
        <v>3.6</v>
      </c>
      <c r="E319">
        <v>87</v>
      </c>
      <c r="F319">
        <v>10.220000000000001</v>
      </c>
      <c r="G319">
        <v>95</v>
      </c>
      <c r="H319" s="1">
        <v>45005.534722222219</v>
      </c>
      <c r="I319" s="1">
        <v>45005.595138888886</v>
      </c>
      <c r="J319" s="1">
        <v>45005.533333333333</v>
      </c>
      <c r="K319" s="1">
        <v>45005.59375</v>
      </c>
      <c r="L319" t="s">
        <v>16</v>
      </c>
      <c r="M319" t="s">
        <v>20</v>
      </c>
    </row>
    <row r="320" spans="1:13" x14ac:dyDescent="0.3">
      <c r="A320" t="s">
        <v>348</v>
      </c>
      <c r="B320" t="s">
        <v>40</v>
      </c>
      <c r="C320" t="s">
        <v>32</v>
      </c>
      <c r="D320">
        <v>3.45</v>
      </c>
      <c r="E320">
        <v>23</v>
      </c>
      <c r="F320">
        <v>10.48</v>
      </c>
      <c r="G320">
        <v>80</v>
      </c>
      <c r="H320" s="1">
        <v>45005.541666666664</v>
      </c>
      <c r="I320" s="1">
        <v>45005.557638888888</v>
      </c>
      <c r="J320" s="1">
        <v>45005.540277777778</v>
      </c>
      <c r="K320" s="1">
        <v>45005.556250000001</v>
      </c>
      <c r="L320" t="s">
        <v>16</v>
      </c>
      <c r="M320" t="s">
        <v>20</v>
      </c>
    </row>
    <row r="321" spans="1:13" x14ac:dyDescent="0.3">
      <c r="A321" t="s">
        <v>349</v>
      </c>
      <c r="B321" t="s">
        <v>22</v>
      </c>
      <c r="C321" t="s">
        <v>15</v>
      </c>
      <c r="D321">
        <v>2.91</v>
      </c>
      <c r="E321">
        <v>39</v>
      </c>
      <c r="F321">
        <v>2.7</v>
      </c>
      <c r="G321">
        <v>92</v>
      </c>
      <c r="H321" s="1">
        <v>45005.548611111109</v>
      </c>
      <c r="I321" s="1">
        <v>45005.575694444444</v>
      </c>
      <c r="J321" s="1">
        <v>45005.551388888889</v>
      </c>
      <c r="K321" s="1">
        <v>45005.578472222223</v>
      </c>
      <c r="L321" t="s">
        <v>16</v>
      </c>
      <c r="M321" t="s">
        <v>28</v>
      </c>
    </row>
    <row r="322" spans="1:13" x14ac:dyDescent="0.3">
      <c r="A322" t="s">
        <v>350</v>
      </c>
      <c r="B322" t="s">
        <v>14</v>
      </c>
      <c r="C322" t="s">
        <v>23</v>
      </c>
      <c r="D322">
        <v>4.49</v>
      </c>
      <c r="E322">
        <v>70</v>
      </c>
      <c r="F322">
        <v>10.34</v>
      </c>
      <c r="G322">
        <v>93</v>
      </c>
      <c r="H322" s="1">
        <v>45005.555555555555</v>
      </c>
      <c r="I322" s="1">
        <v>45005.604166666664</v>
      </c>
      <c r="J322" s="1">
        <v>45005.567361111112</v>
      </c>
      <c r="K322" s="1">
        <v>45005.615972222222</v>
      </c>
      <c r="L322" t="s">
        <v>19</v>
      </c>
      <c r="M322" t="s">
        <v>20</v>
      </c>
    </row>
    <row r="323" spans="1:13" x14ac:dyDescent="0.3">
      <c r="A323" t="s">
        <v>351</v>
      </c>
      <c r="B323" t="s">
        <v>40</v>
      </c>
      <c r="C323" t="s">
        <v>27</v>
      </c>
      <c r="D323">
        <v>3.62</v>
      </c>
      <c r="E323">
        <v>80</v>
      </c>
      <c r="F323">
        <v>10.42</v>
      </c>
      <c r="G323">
        <v>88</v>
      </c>
      <c r="H323" s="1">
        <v>45005.5625</v>
      </c>
      <c r="I323" s="1">
        <v>45005.618055555555</v>
      </c>
      <c r="J323" s="1">
        <v>45005.559027777781</v>
      </c>
      <c r="K323" s="1">
        <v>45005.614583333336</v>
      </c>
      <c r="L323" t="s">
        <v>16</v>
      </c>
      <c r="M323" t="s">
        <v>20</v>
      </c>
    </row>
    <row r="324" spans="1:13" x14ac:dyDescent="0.3">
      <c r="A324" t="s">
        <v>352</v>
      </c>
      <c r="B324" t="s">
        <v>14</v>
      </c>
      <c r="C324" t="s">
        <v>15</v>
      </c>
      <c r="D324">
        <v>2.23</v>
      </c>
      <c r="E324">
        <v>90</v>
      </c>
      <c r="F324">
        <v>5.88</v>
      </c>
      <c r="G324">
        <v>95</v>
      </c>
      <c r="H324" s="1">
        <v>45005.569444444445</v>
      </c>
      <c r="I324" s="1">
        <v>45005.631944444445</v>
      </c>
      <c r="J324" s="1">
        <v>45005.571527777778</v>
      </c>
      <c r="K324" s="1">
        <v>45005.634027777778</v>
      </c>
      <c r="L324" t="s">
        <v>16</v>
      </c>
      <c r="M324" t="s">
        <v>28</v>
      </c>
    </row>
    <row r="325" spans="1:13" x14ac:dyDescent="0.3">
      <c r="A325" t="s">
        <v>353</v>
      </c>
      <c r="B325" t="s">
        <v>34</v>
      </c>
      <c r="C325" t="s">
        <v>27</v>
      </c>
      <c r="D325">
        <v>3.12</v>
      </c>
      <c r="E325">
        <v>21</v>
      </c>
      <c r="F325">
        <v>11.65</v>
      </c>
      <c r="G325">
        <v>92</v>
      </c>
      <c r="H325" s="1">
        <v>45005.576388888891</v>
      </c>
      <c r="I325" s="1">
        <v>45005.59097222222</v>
      </c>
      <c r="J325" s="1">
        <v>45005.586805555555</v>
      </c>
      <c r="K325" s="1">
        <v>45005.601388888892</v>
      </c>
      <c r="L325" t="s">
        <v>19</v>
      </c>
      <c r="M325" t="s">
        <v>20</v>
      </c>
    </row>
    <row r="326" spans="1:13" x14ac:dyDescent="0.3">
      <c r="A326" t="s">
        <v>354</v>
      </c>
      <c r="B326" t="s">
        <v>40</v>
      </c>
      <c r="C326" t="s">
        <v>15</v>
      </c>
      <c r="D326">
        <v>3.95</v>
      </c>
      <c r="E326">
        <v>112</v>
      </c>
      <c r="F326">
        <v>4.8499999999999996</v>
      </c>
      <c r="G326">
        <v>87</v>
      </c>
      <c r="H326" s="1">
        <v>45005.583333333336</v>
      </c>
      <c r="I326" s="1">
        <v>45005.661111111112</v>
      </c>
      <c r="L326" t="s">
        <v>24</v>
      </c>
      <c r="M326" t="s">
        <v>20</v>
      </c>
    </row>
    <row r="327" spans="1:13" x14ac:dyDescent="0.3">
      <c r="A327" t="s">
        <v>355</v>
      </c>
      <c r="B327" t="s">
        <v>14</v>
      </c>
      <c r="C327" t="s">
        <v>23</v>
      </c>
      <c r="D327">
        <v>3.87</v>
      </c>
      <c r="E327">
        <v>60</v>
      </c>
      <c r="F327">
        <v>4.74</v>
      </c>
      <c r="G327">
        <v>94</v>
      </c>
      <c r="H327" s="1">
        <v>45005.590277777781</v>
      </c>
      <c r="I327" s="1">
        <v>45005.631944444445</v>
      </c>
      <c r="J327" s="1">
        <v>45005.593055555553</v>
      </c>
      <c r="K327" s="1">
        <v>45005.634722222225</v>
      </c>
      <c r="L327" t="s">
        <v>16</v>
      </c>
      <c r="M327" t="s">
        <v>28</v>
      </c>
    </row>
    <row r="328" spans="1:13" x14ac:dyDescent="0.3">
      <c r="A328" t="s">
        <v>356</v>
      </c>
      <c r="B328" t="s">
        <v>22</v>
      </c>
      <c r="C328" t="s">
        <v>15</v>
      </c>
      <c r="D328">
        <v>2.87</v>
      </c>
      <c r="E328">
        <v>73</v>
      </c>
      <c r="F328">
        <v>11.29</v>
      </c>
      <c r="G328">
        <v>94</v>
      </c>
      <c r="H328" s="1">
        <v>45005.597222222219</v>
      </c>
      <c r="I328" s="1">
        <v>45005.647916666669</v>
      </c>
      <c r="J328" s="1">
        <v>45005.597222222219</v>
      </c>
      <c r="K328" s="1">
        <v>45005.647916666669</v>
      </c>
      <c r="L328" t="s">
        <v>16</v>
      </c>
      <c r="M328" t="s">
        <v>17</v>
      </c>
    </row>
    <row r="329" spans="1:13" x14ac:dyDescent="0.3">
      <c r="A329" t="s">
        <v>357</v>
      </c>
      <c r="B329" t="s">
        <v>34</v>
      </c>
      <c r="C329" t="s">
        <v>32</v>
      </c>
      <c r="D329">
        <v>2.2999999999999998</v>
      </c>
      <c r="E329">
        <v>57</v>
      </c>
      <c r="F329">
        <v>13.77</v>
      </c>
      <c r="G329">
        <v>81</v>
      </c>
      <c r="H329" s="1">
        <v>45005.604166666664</v>
      </c>
      <c r="I329" s="1">
        <v>45005.643750000003</v>
      </c>
      <c r="J329" s="1">
        <v>45005.607638888891</v>
      </c>
      <c r="K329" s="1">
        <v>45005.647222222222</v>
      </c>
      <c r="L329" t="s">
        <v>16</v>
      </c>
      <c r="M329" t="s">
        <v>17</v>
      </c>
    </row>
    <row r="330" spans="1:13" x14ac:dyDescent="0.3">
      <c r="A330" t="s">
        <v>358</v>
      </c>
      <c r="B330" t="s">
        <v>34</v>
      </c>
      <c r="C330" t="s">
        <v>23</v>
      </c>
      <c r="D330">
        <v>4.25</v>
      </c>
      <c r="E330">
        <v>74</v>
      </c>
      <c r="F330">
        <v>2.64</v>
      </c>
      <c r="G330">
        <v>90</v>
      </c>
      <c r="H330" s="1">
        <v>45005.611111111109</v>
      </c>
      <c r="I330" s="1">
        <v>45005.662499999999</v>
      </c>
      <c r="J330" s="1">
        <v>45005.619444444441</v>
      </c>
      <c r="K330" s="1">
        <v>45005.67083333333</v>
      </c>
      <c r="L330" t="s">
        <v>19</v>
      </c>
      <c r="M330" t="s">
        <v>20</v>
      </c>
    </row>
    <row r="331" spans="1:13" x14ac:dyDescent="0.3">
      <c r="A331" t="s">
        <v>359</v>
      </c>
      <c r="B331" t="s">
        <v>14</v>
      </c>
      <c r="C331" t="s">
        <v>23</v>
      </c>
      <c r="D331">
        <v>4.1399999999999997</v>
      </c>
      <c r="E331">
        <v>54</v>
      </c>
      <c r="F331">
        <v>8.66</v>
      </c>
      <c r="G331">
        <v>86</v>
      </c>
      <c r="H331" s="1">
        <v>45005.618055555555</v>
      </c>
      <c r="I331" s="1">
        <v>45005.655555555553</v>
      </c>
      <c r="J331" s="1">
        <v>45005.617361111108</v>
      </c>
      <c r="K331" s="1">
        <v>45005.654861111114</v>
      </c>
      <c r="L331" t="s">
        <v>16</v>
      </c>
      <c r="M331" t="s">
        <v>20</v>
      </c>
    </row>
    <row r="332" spans="1:13" x14ac:dyDescent="0.3">
      <c r="A332" t="s">
        <v>360</v>
      </c>
      <c r="B332" t="s">
        <v>22</v>
      </c>
      <c r="C332" t="s">
        <v>23</v>
      </c>
      <c r="D332">
        <v>4.45</v>
      </c>
      <c r="E332">
        <v>27</v>
      </c>
      <c r="F332">
        <v>5.78</v>
      </c>
      <c r="G332">
        <v>97</v>
      </c>
      <c r="H332" s="1">
        <v>45005.625</v>
      </c>
      <c r="I332" s="1">
        <v>45005.643750000003</v>
      </c>
      <c r="J332" s="1">
        <v>45005.621527777781</v>
      </c>
      <c r="K332" s="1">
        <v>45005.640277777777</v>
      </c>
      <c r="L332" t="s">
        <v>16</v>
      </c>
      <c r="M332" t="s">
        <v>20</v>
      </c>
    </row>
    <row r="333" spans="1:13" x14ac:dyDescent="0.3">
      <c r="A333" t="s">
        <v>361</v>
      </c>
      <c r="B333" t="s">
        <v>34</v>
      </c>
      <c r="C333" t="s">
        <v>15</v>
      </c>
      <c r="D333">
        <v>1.19</v>
      </c>
      <c r="E333">
        <v>114</v>
      </c>
      <c r="F333">
        <v>9.52</v>
      </c>
      <c r="G333">
        <v>81</v>
      </c>
      <c r="H333" s="1">
        <v>45005.631944444445</v>
      </c>
      <c r="I333" s="1">
        <v>45005.711111111108</v>
      </c>
      <c r="J333" s="1">
        <v>45005.629166666666</v>
      </c>
      <c r="K333" s="1">
        <v>45005.708333333336</v>
      </c>
      <c r="L333" t="s">
        <v>16</v>
      </c>
      <c r="M333" t="s">
        <v>20</v>
      </c>
    </row>
    <row r="334" spans="1:13" x14ac:dyDescent="0.3">
      <c r="A334" t="s">
        <v>362</v>
      </c>
      <c r="B334" t="s">
        <v>30</v>
      </c>
      <c r="C334" t="s">
        <v>27</v>
      </c>
      <c r="D334">
        <v>1.1499999999999999</v>
      </c>
      <c r="E334">
        <v>61</v>
      </c>
      <c r="F334">
        <v>11.45</v>
      </c>
      <c r="G334">
        <v>85</v>
      </c>
      <c r="H334" s="1">
        <v>45005.638888888891</v>
      </c>
      <c r="I334" s="1">
        <v>45005.681250000001</v>
      </c>
      <c r="J334" s="1">
        <v>45005.647222222222</v>
      </c>
      <c r="K334" s="1">
        <v>45005.689583333333</v>
      </c>
      <c r="L334" t="s">
        <v>19</v>
      </c>
      <c r="M334" t="s">
        <v>20</v>
      </c>
    </row>
    <row r="335" spans="1:13" x14ac:dyDescent="0.3">
      <c r="A335" t="s">
        <v>363</v>
      </c>
      <c r="B335" t="s">
        <v>22</v>
      </c>
      <c r="C335" t="s">
        <v>32</v>
      </c>
      <c r="D335">
        <v>2.7</v>
      </c>
      <c r="E335">
        <v>67</v>
      </c>
      <c r="F335">
        <v>5.28</v>
      </c>
      <c r="G335">
        <v>84</v>
      </c>
      <c r="H335" s="1">
        <v>45005.645833333336</v>
      </c>
      <c r="I335" s="1">
        <v>45005.692361111112</v>
      </c>
      <c r="L335" t="s">
        <v>24</v>
      </c>
      <c r="M335" t="s">
        <v>20</v>
      </c>
    </row>
    <row r="336" spans="1:13" x14ac:dyDescent="0.3">
      <c r="A336" t="s">
        <v>364</v>
      </c>
      <c r="B336" t="s">
        <v>34</v>
      </c>
      <c r="C336" t="s">
        <v>23</v>
      </c>
      <c r="D336">
        <v>2.63</v>
      </c>
      <c r="E336">
        <v>59</v>
      </c>
      <c r="F336">
        <v>13.01</v>
      </c>
      <c r="G336">
        <v>85</v>
      </c>
      <c r="H336" s="1">
        <v>45005.652777777781</v>
      </c>
      <c r="I336" s="1">
        <v>45005.693749999999</v>
      </c>
      <c r="J336" s="1">
        <v>45005.655555555553</v>
      </c>
      <c r="K336" s="1">
        <v>45005.696527777778</v>
      </c>
      <c r="L336" t="s">
        <v>16</v>
      </c>
      <c r="M336" t="s">
        <v>17</v>
      </c>
    </row>
    <row r="337" spans="1:13" x14ac:dyDescent="0.3">
      <c r="A337" t="s">
        <v>365</v>
      </c>
      <c r="B337" t="s">
        <v>34</v>
      </c>
      <c r="C337" t="s">
        <v>15</v>
      </c>
      <c r="D337">
        <v>4.6900000000000004</v>
      </c>
      <c r="E337">
        <v>25</v>
      </c>
      <c r="F337">
        <v>10.4</v>
      </c>
      <c r="G337">
        <v>87</v>
      </c>
      <c r="H337" s="1">
        <v>45005.659722222219</v>
      </c>
      <c r="I337" s="1">
        <v>45005.677083333336</v>
      </c>
      <c r="J337" s="1">
        <v>45005.658333333333</v>
      </c>
      <c r="K337" s="1">
        <v>45005.675694444442</v>
      </c>
      <c r="L337" t="s">
        <v>16</v>
      </c>
      <c r="M337" t="s">
        <v>20</v>
      </c>
    </row>
    <row r="338" spans="1:13" x14ac:dyDescent="0.3">
      <c r="A338" t="s">
        <v>366</v>
      </c>
      <c r="B338" t="s">
        <v>30</v>
      </c>
      <c r="C338" t="s">
        <v>27</v>
      </c>
      <c r="D338">
        <v>2.15</v>
      </c>
      <c r="E338">
        <v>78</v>
      </c>
      <c r="F338">
        <v>13.17</v>
      </c>
      <c r="G338">
        <v>97</v>
      </c>
      <c r="H338" s="1">
        <v>45005.666666666664</v>
      </c>
      <c r="I338" s="1">
        <v>45005.720833333333</v>
      </c>
      <c r="J338" s="1">
        <v>45005.677777777775</v>
      </c>
      <c r="K338" s="1">
        <v>45005.731944444444</v>
      </c>
      <c r="L338" t="s">
        <v>19</v>
      </c>
      <c r="M338" t="s">
        <v>20</v>
      </c>
    </row>
    <row r="339" spans="1:13" x14ac:dyDescent="0.3">
      <c r="A339" t="s">
        <v>367</v>
      </c>
      <c r="B339" t="s">
        <v>14</v>
      </c>
      <c r="C339" t="s">
        <v>23</v>
      </c>
      <c r="D339">
        <v>2.04</v>
      </c>
      <c r="E339">
        <v>71</v>
      </c>
      <c r="F339">
        <v>13.97</v>
      </c>
      <c r="G339">
        <v>93</v>
      </c>
      <c r="H339" s="1">
        <v>45005.673611111109</v>
      </c>
      <c r="I339" s="1">
        <v>45005.722916666666</v>
      </c>
      <c r="J339" s="1">
        <v>45005.670138888891</v>
      </c>
      <c r="K339" s="1">
        <v>45005.719444444447</v>
      </c>
      <c r="L339" t="s">
        <v>16</v>
      </c>
      <c r="M339" t="s">
        <v>20</v>
      </c>
    </row>
    <row r="340" spans="1:13" x14ac:dyDescent="0.3">
      <c r="A340" t="s">
        <v>368</v>
      </c>
      <c r="B340" t="s">
        <v>40</v>
      </c>
      <c r="C340" t="s">
        <v>27</v>
      </c>
      <c r="D340">
        <v>1.8</v>
      </c>
      <c r="E340">
        <v>74</v>
      </c>
      <c r="F340">
        <v>11.52</v>
      </c>
      <c r="G340">
        <v>94</v>
      </c>
      <c r="H340" s="1">
        <v>45005.680555555555</v>
      </c>
      <c r="I340" s="1">
        <v>45005.731944444444</v>
      </c>
      <c r="J340" s="1">
        <v>45005.684027777781</v>
      </c>
      <c r="K340" s="1">
        <v>45005.73541666667</v>
      </c>
      <c r="L340" t="s">
        <v>16</v>
      </c>
      <c r="M340" t="s">
        <v>17</v>
      </c>
    </row>
    <row r="341" spans="1:13" x14ac:dyDescent="0.3">
      <c r="A341" t="s">
        <v>369</v>
      </c>
      <c r="B341" t="s">
        <v>34</v>
      </c>
      <c r="C341" t="s">
        <v>36</v>
      </c>
      <c r="D341">
        <v>2.2000000000000002</v>
      </c>
      <c r="E341">
        <v>58</v>
      </c>
      <c r="F341">
        <v>6.8</v>
      </c>
      <c r="G341">
        <v>92</v>
      </c>
      <c r="H341" s="1">
        <v>45005.6875</v>
      </c>
      <c r="I341" s="1">
        <v>45005.727777777778</v>
      </c>
      <c r="J341" s="1">
        <v>45005.704861111109</v>
      </c>
      <c r="K341" s="1">
        <v>45005.745138888888</v>
      </c>
      <c r="L341" t="s">
        <v>19</v>
      </c>
      <c r="M341" t="s">
        <v>20</v>
      </c>
    </row>
    <row r="342" spans="1:13" x14ac:dyDescent="0.3">
      <c r="A342" t="s">
        <v>370</v>
      </c>
      <c r="B342" t="s">
        <v>40</v>
      </c>
      <c r="C342" t="s">
        <v>15</v>
      </c>
      <c r="D342">
        <v>1.18</v>
      </c>
      <c r="E342">
        <v>96</v>
      </c>
      <c r="F342">
        <v>13.66</v>
      </c>
      <c r="G342">
        <v>91</v>
      </c>
      <c r="H342" s="1">
        <v>45005.694444444445</v>
      </c>
      <c r="I342" s="1">
        <v>45005.761111111111</v>
      </c>
      <c r="L342" t="s">
        <v>24</v>
      </c>
      <c r="M342" t="s">
        <v>20</v>
      </c>
    </row>
    <row r="343" spans="1:13" x14ac:dyDescent="0.3">
      <c r="A343" t="s">
        <v>371</v>
      </c>
      <c r="B343" t="s">
        <v>22</v>
      </c>
      <c r="C343" t="s">
        <v>15</v>
      </c>
      <c r="D343">
        <v>1.92</v>
      </c>
      <c r="E343">
        <v>118</v>
      </c>
      <c r="F343">
        <v>5</v>
      </c>
      <c r="G343">
        <v>98</v>
      </c>
      <c r="H343" s="1">
        <v>45005.701388888891</v>
      </c>
      <c r="I343" s="1">
        <v>45005.783333333333</v>
      </c>
      <c r="L343" t="s">
        <v>24</v>
      </c>
      <c r="M343" t="s">
        <v>20</v>
      </c>
    </row>
    <row r="344" spans="1:13" x14ac:dyDescent="0.3">
      <c r="A344" t="s">
        <v>372</v>
      </c>
      <c r="B344" t="s">
        <v>30</v>
      </c>
      <c r="C344" t="s">
        <v>15</v>
      </c>
      <c r="D344">
        <v>4.88</v>
      </c>
      <c r="E344">
        <v>100</v>
      </c>
      <c r="F344">
        <v>10.38</v>
      </c>
      <c r="G344">
        <v>90</v>
      </c>
      <c r="H344" s="1">
        <v>45005.708333333336</v>
      </c>
      <c r="I344" s="1">
        <v>45005.777777777781</v>
      </c>
      <c r="J344" s="1">
        <v>45005.705555555556</v>
      </c>
      <c r="K344" s="1">
        <v>45005.775000000001</v>
      </c>
      <c r="L344" t="s">
        <v>16</v>
      </c>
      <c r="M344" t="s">
        <v>20</v>
      </c>
    </row>
    <row r="345" spans="1:13" x14ac:dyDescent="0.3">
      <c r="A345" t="s">
        <v>373</v>
      </c>
      <c r="B345" t="s">
        <v>14</v>
      </c>
      <c r="C345" t="s">
        <v>27</v>
      </c>
      <c r="D345">
        <v>3.32</v>
      </c>
      <c r="E345">
        <v>94</v>
      </c>
      <c r="F345">
        <v>14.98</v>
      </c>
      <c r="G345">
        <v>86</v>
      </c>
      <c r="H345" s="1">
        <v>45005.715277777781</v>
      </c>
      <c r="I345" s="1">
        <v>45005.780555555553</v>
      </c>
      <c r="J345" s="1">
        <v>45005.71875</v>
      </c>
      <c r="K345" s="1">
        <v>45005.78402777778</v>
      </c>
      <c r="L345" t="s">
        <v>16</v>
      </c>
      <c r="M345" t="s">
        <v>17</v>
      </c>
    </row>
    <row r="346" spans="1:13" x14ac:dyDescent="0.3">
      <c r="A346" t="s">
        <v>374</v>
      </c>
      <c r="B346" t="s">
        <v>34</v>
      </c>
      <c r="C346" t="s">
        <v>27</v>
      </c>
      <c r="D346">
        <v>3.07</v>
      </c>
      <c r="E346">
        <v>37</v>
      </c>
      <c r="F346">
        <v>6.03</v>
      </c>
      <c r="G346">
        <v>85</v>
      </c>
      <c r="H346" s="1">
        <v>45005.722222222219</v>
      </c>
      <c r="I346" s="1">
        <v>45005.747916666667</v>
      </c>
      <c r="L346" t="s">
        <v>24</v>
      </c>
      <c r="M346" t="s">
        <v>20</v>
      </c>
    </row>
    <row r="347" spans="1:13" x14ac:dyDescent="0.3">
      <c r="A347" t="s">
        <v>375</v>
      </c>
      <c r="B347" t="s">
        <v>22</v>
      </c>
      <c r="C347" t="s">
        <v>36</v>
      </c>
      <c r="D347">
        <v>3.59</v>
      </c>
      <c r="E347">
        <v>29</v>
      </c>
      <c r="F347">
        <v>13.78</v>
      </c>
      <c r="G347">
        <v>80</v>
      </c>
      <c r="H347" s="1">
        <v>45005.729166666664</v>
      </c>
      <c r="I347" s="1">
        <v>45005.749305555553</v>
      </c>
      <c r="J347" s="1">
        <v>45005.728472222225</v>
      </c>
      <c r="K347" s="1">
        <v>45005.748611111114</v>
      </c>
      <c r="L347" t="s">
        <v>16</v>
      </c>
      <c r="M347" t="s">
        <v>20</v>
      </c>
    </row>
    <row r="348" spans="1:13" x14ac:dyDescent="0.3">
      <c r="A348" t="s">
        <v>376</v>
      </c>
      <c r="B348" t="s">
        <v>14</v>
      </c>
      <c r="C348" t="s">
        <v>27</v>
      </c>
      <c r="D348">
        <v>4.0199999999999996</v>
      </c>
      <c r="E348">
        <v>73</v>
      </c>
      <c r="F348">
        <v>14.45</v>
      </c>
      <c r="G348">
        <v>96</v>
      </c>
      <c r="H348" s="1">
        <v>45005.736111111109</v>
      </c>
      <c r="I348" s="1">
        <v>45005.786805555559</v>
      </c>
      <c r="J348" s="1">
        <v>45005.734027777777</v>
      </c>
      <c r="K348" s="1">
        <v>45005.784722222219</v>
      </c>
      <c r="L348" t="s">
        <v>16</v>
      </c>
      <c r="M348" t="s">
        <v>20</v>
      </c>
    </row>
    <row r="349" spans="1:13" x14ac:dyDescent="0.3">
      <c r="A349" t="s">
        <v>377</v>
      </c>
      <c r="B349" t="s">
        <v>30</v>
      </c>
      <c r="C349" t="s">
        <v>36</v>
      </c>
      <c r="D349">
        <v>1.74</v>
      </c>
      <c r="E349">
        <v>92</v>
      </c>
      <c r="F349">
        <v>8.7899999999999991</v>
      </c>
      <c r="G349">
        <v>91</v>
      </c>
      <c r="H349" s="1">
        <v>45005.743055555555</v>
      </c>
      <c r="I349" s="1">
        <v>45005.806944444441</v>
      </c>
      <c r="J349" s="1">
        <v>45005.743750000001</v>
      </c>
      <c r="K349" s="1">
        <v>45005.807638888888</v>
      </c>
      <c r="L349" t="s">
        <v>16</v>
      </c>
      <c r="M349" t="s">
        <v>28</v>
      </c>
    </row>
    <row r="350" spans="1:13" x14ac:dyDescent="0.3">
      <c r="A350" t="s">
        <v>378</v>
      </c>
      <c r="B350" t="s">
        <v>22</v>
      </c>
      <c r="C350" t="s">
        <v>15</v>
      </c>
      <c r="D350">
        <v>3.27</v>
      </c>
      <c r="E350">
        <v>86</v>
      </c>
      <c r="F350">
        <v>10.39</v>
      </c>
      <c r="G350">
        <v>96</v>
      </c>
      <c r="H350" s="1">
        <v>45005.75</v>
      </c>
      <c r="I350" s="1">
        <v>45005.80972222222</v>
      </c>
      <c r="J350" s="1">
        <v>45005.748611111114</v>
      </c>
      <c r="K350" s="1">
        <v>45005.808333333334</v>
      </c>
      <c r="L350" t="s">
        <v>16</v>
      </c>
      <c r="M350" t="s">
        <v>20</v>
      </c>
    </row>
    <row r="351" spans="1:13" x14ac:dyDescent="0.3">
      <c r="A351" t="s">
        <v>379</v>
      </c>
      <c r="B351" t="s">
        <v>40</v>
      </c>
      <c r="C351" t="s">
        <v>23</v>
      </c>
      <c r="D351">
        <v>2.11</v>
      </c>
      <c r="E351">
        <v>77</v>
      </c>
      <c r="F351">
        <v>10.81</v>
      </c>
      <c r="G351">
        <v>95</v>
      </c>
      <c r="H351" s="1">
        <v>45005.756944444445</v>
      </c>
      <c r="I351" s="1">
        <v>45005.810416666667</v>
      </c>
      <c r="J351" s="1">
        <v>45005.756249999999</v>
      </c>
      <c r="K351" s="1">
        <v>45005.80972222222</v>
      </c>
      <c r="L351" t="s">
        <v>16</v>
      </c>
      <c r="M351" t="s">
        <v>20</v>
      </c>
    </row>
    <row r="352" spans="1:13" x14ac:dyDescent="0.3">
      <c r="A352" t="s">
        <v>380</v>
      </c>
      <c r="B352" t="s">
        <v>22</v>
      </c>
      <c r="C352" t="s">
        <v>23</v>
      </c>
      <c r="D352">
        <v>2.12</v>
      </c>
      <c r="E352">
        <v>51</v>
      </c>
      <c r="F352">
        <v>9.83</v>
      </c>
      <c r="G352">
        <v>87</v>
      </c>
      <c r="H352" s="1">
        <v>45005.763888888891</v>
      </c>
      <c r="I352" s="1">
        <v>45005.799305555556</v>
      </c>
      <c r="J352" s="1">
        <v>45005.765277777777</v>
      </c>
      <c r="K352" s="1">
        <v>45005.800694444442</v>
      </c>
      <c r="L352" t="s">
        <v>16</v>
      </c>
      <c r="M352" t="s">
        <v>17</v>
      </c>
    </row>
    <row r="353" spans="1:13" x14ac:dyDescent="0.3">
      <c r="A353" t="s">
        <v>381</v>
      </c>
      <c r="B353" t="s">
        <v>14</v>
      </c>
      <c r="C353" t="s">
        <v>27</v>
      </c>
      <c r="D353">
        <v>2.46</v>
      </c>
      <c r="E353">
        <v>93</v>
      </c>
      <c r="F353">
        <v>14.04</v>
      </c>
      <c r="G353">
        <v>82</v>
      </c>
      <c r="H353" s="1">
        <v>45005.770833333336</v>
      </c>
      <c r="I353" s="1">
        <v>45005.835416666669</v>
      </c>
      <c r="J353" s="1">
        <v>45005.772916666669</v>
      </c>
      <c r="K353" s="1">
        <v>45005.837500000001</v>
      </c>
      <c r="L353" t="s">
        <v>16</v>
      </c>
      <c r="M353" t="s">
        <v>17</v>
      </c>
    </row>
    <row r="354" spans="1:13" x14ac:dyDescent="0.3">
      <c r="A354" t="s">
        <v>382</v>
      </c>
      <c r="B354" t="s">
        <v>30</v>
      </c>
      <c r="C354" t="s">
        <v>23</v>
      </c>
      <c r="D354">
        <v>2.46</v>
      </c>
      <c r="E354">
        <v>36</v>
      </c>
      <c r="F354">
        <v>5.98</v>
      </c>
      <c r="G354">
        <v>84</v>
      </c>
      <c r="H354" s="1">
        <v>45005.777777777781</v>
      </c>
      <c r="I354" s="1">
        <v>45005.802777777775</v>
      </c>
      <c r="J354" s="1">
        <v>45005.779861111114</v>
      </c>
      <c r="K354" s="1">
        <v>45005.804861111108</v>
      </c>
      <c r="L354" t="s">
        <v>16</v>
      </c>
      <c r="M354" t="s">
        <v>28</v>
      </c>
    </row>
    <row r="355" spans="1:13" x14ac:dyDescent="0.3">
      <c r="A355" t="s">
        <v>383</v>
      </c>
      <c r="B355" t="s">
        <v>40</v>
      </c>
      <c r="C355" t="s">
        <v>15</v>
      </c>
      <c r="D355">
        <v>1.3</v>
      </c>
      <c r="E355">
        <v>61</v>
      </c>
      <c r="F355">
        <v>13.62</v>
      </c>
      <c r="G355">
        <v>84</v>
      </c>
      <c r="H355" s="1">
        <v>45005.784722222219</v>
      </c>
      <c r="I355" s="1">
        <v>45005.82708333333</v>
      </c>
      <c r="J355" s="1">
        <v>45005.788194444445</v>
      </c>
      <c r="K355" s="1">
        <v>45005.830555555556</v>
      </c>
      <c r="L355" t="s">
        <v>16</v>
      </c>
      <c r="M355" t="s">
        <v>17</v>
      </c>
    </row>
    <row r="356" spans="1:13" x14ac:dyDescent="0.3">
      <c r="A356" t="s">
        <v>384</v>
      </c>
      <c r="B356" t="s">
        <v>40</v>
      </c>
      <c r="C356" t="s">
        <v>36</v>
      </c>
      <c r="D356">
        <v>4.99</v>
      </c>
      <c r="E356">
        <v>87</v>
      </c>
      <c r="F356">
        <v>5.88</v>
      </c>
      <c r="G356">
        <v>80</v>
      </c>
      <c r="H356" s="1">
        <v>45005.791666666664</v>
      </c>
      <c r="I356" s="1">
        <v>45005.852083333331</v>
      </c>
      <c r="J356" s="1">
        <v>45005.789583333331</v>
      </c>
      <c r="K356" s="1">
        <v>45005.85</v>
      </c>
      <c r="L356" t="s">
        <v>16</v>
      </c>
      <c r="M356" t="s">
        <v>20</v>
      </c>
    </row>
    <row r="357" spans="1:13" x14ac:dyDescent="0.3">
      <c r="A357" t="s">
        <v>385</v>
      </c>
      <c r="B357" t="s">
        <v>14</v>
      </c>
      <c r="C357" t="s">
        <v>27</v>
      </c>
      <c r="D357">
        <v>2.2200000000000002</v>
      </c>
      <c r="E357">
        <v>101</v>
      </c>
      <c r="F357">
        <v>10.119999999999999</v>
      </c>
      <c r="G357">
        <v>85</v>
      </c>
      <c r="H357" s="1">
        <v>45005.798611111109</v>
      </c>
      <c r="I357" s="1">
        <v>45005.868750000001</v>
      </c>
      <c r="J357" s="1">
        <v>45005.79791666667</v>
      </c>
      <c r="K357" s="1">
        <v>45005.868055555555</v>
      </c>
      <c r="L357" t="s">
        <v>16</v>
      </c>
      <c r="M357" t="s">
        <v>20</v>
      </c>
    </row>
    <row r="358" spans="1:13" x14ac:dyDescent="0.3">
      <c r="A358" t="s">
        <v>386</v>
      </c>
      <c r="B358" t="s">
        <v>34</v>
      </c>
      <c r="C358" t="s">
        <v>23</v>
      </c>
      <c r="D358">
        <v>2.75</v>
      </c>
      <c r="E358">
        <v>116</v>
      </c>
      <c r="F358">
        <v>11.31</v>
      </c>
      <c r="G358">
        <v>99</v>
      </c>
      <c r="H358" s="1">
        <v>45005.805555555555</v>
      </c>
      <c r="I358" s="1">
        <v>45005.886111111111</v>
      </c>
      <c r="J358" s="1">
        <v>45005.802083333336</v>
      </c>
      <c r="K358" s="1">
        <v>45005.882638888892</v>
      </c>
      <c r="L358" t="s">
        <v>16</v>
      </c>
      <c r="M358" t="s">
        <v>20</v>
      </c>
    </row>
    <row r="359" spans="1:13" x14ac:dyDescent="0.3">
      <c r="A359" t="s">
        <v>387</v>
      </c>
      <c r="B359" t="s">
        <v>14</v>
      </c>
      <c r="C359" t="s">
        <v>15</v>
      </c>
      <c r="D359">
        <v>4.12</v>
      </c>
      <c r="E359">
        <v>66</v>
      </c>
      <c r="F359">
        <v>8.7899999999999991</v>
      </c>
      <c r="G359">
        <v>93</v>
      </c>
      <c r="H359" s="1">
        <v>45005.8125</v>
      </c>
      <c r="I359" s="1">
        <v>45005.85833333333</v>
      </c>
      <c r="L359" t="s">
        <v>24</v>
      </c>
      <c r="M359" t="s">
        <v>20</v>
      </c>
    </row>
    <row r="360" spans="1:13" x14ac:dyDescent="0.3">
      <c r="A360" t="s">
        <v>388</v>
      </c>
      <c r="B360" t="s">
        <v>22</v>
      </c>
      <c r="C360" t="s">
        <v>15</v>
      </c>
      <c r="D360">
        <v>2.73</v>
      </c>
      <c r="E360">
        <v>90</v>
      </c>
      <c r="F360">
        <v>7.96</v>
      </c>
      <c r="G360">
        <v>91</v>
      </c>
      <c r="H360" s="1">
        <v>45005.819444444445</v>
      </c>
      <c r="I360" s="1">
        <v>45005.881944444445</v>
      </c>
      <c r="J360" s="1">
        <v>45005.818055555559</v>
      </c>
      <c r="K360" s="1">
        <v>45005.880555555559</v>
      </c>
      <c r="L360" t="s">
        <v>16</v>
      </c>
      <c r="M360" t="s">
        <v>20</v>
      </c>
    </row>
    <row r="361" spans="1:13" x14ac:dyDescent="0.3">
      <c r="A361" t="s">
        <v>389</v>
      </c>
      <c r="B361" t="s">
        <v>34</v>
      </c>
      <c r="C361" t="s">
        <v>23</v>
      </c>
      <c r="D361">
        <v>1.81</v>
      </c>
      <c r="E361">
        <v>29</v>
      </c>
      <c r="F361">
        <v>8</v>
      </c>
      <c r="G361">
        <v>97</v>
      </c>
      <c r="H361" s="1">
        <v>45005.826388888891</v>
      </c>
      <c r="I361" s="1">
        <v>45005.84652777778</v>
      </c>
      <c r="J361" s="1">
        <v>45005.829861111109</v>
      </c>
      <c r="K361" s="1">
        <v>45005.85</v>
      </c>
      <c r="L361" t="s">
        <v>16</v>
      </c>
      <c r="M361" t="s">
        <v>17</v>
      </c>
    </row>
    <row r="362" spans="1:13" x14ac:dyDescent="0.3">
      <c r="A362" t="s">
        <v>390</v>
      </c>
      <c r="B362" t="s">
        <v>34</v>
      </c>
      <c r="C362" t="s">
        <v>36</v>
      </c>
      <c r="D362">
        <v>4.3099999999999996</v>
      </c>
      <c r="E362">
        <v>83</v>
      </c>
      <c r="F362">
        <v>4.43</v>
      </c>
      <c r="G362">
        <v>85</v>
      </c>
      <c r="H362" s="1">
        <v>45005.833333333336</v>
      </c>
      <c r="I362" s="1">
        <v>45005.890972222223</v>
      </c>
      <c r="J362" s="1">
        <v>45005.830555555556</v>
      </c>
      <c r="K362" s="1">
        <v>45005.888194444444</v>
      </c>
      <c r="L362" t="s">
        <v>16</v>
      </c>
      <c r="M362" t="s">
        <v>20</v>
      </c>
    </row>
    <row r="363" spans="1:13" x14ac:dyDescent="0.3">
      <c r="A363" t="s">
        <v>391</v>
      </c>
      <c r="B363" t="s">
        <v>30</v>
      </c>
      <c r="C363" t="s">
        <v>36</v>
      </c>
      <c r="D363">
        <v>1.25</v>
      </c>
      <c r="E363">
        <v>50</v>
      </c>
      <c r="F363">
        <v>12.64</v>
      </c>
      <c r="G363">
        <v>83</v>
      </c>
      <c r="H363" s="1">
        <v>45005.840277777781</v>
      </c>
      <c r="I363" s="1">
        <v>45005.875</v>
      </c>
      <c r="J363" s="1">
        <v>45005.843055555553</v>
      </c>
      <c r="K363" s="1">
        <v>45005.87777777778</v>
      </c>
      <c r="L363" t="s">
        <v>16</v>
      </c>
      <c r="M363" t="s">
        <v>17</v>
      </c>
    </row>
    <row r="364" spans="1:13" x14ac:dyDescent="0.3">
      <c r="A364" t="s">
        <v>392</v>
      </c>
      <c r="B364" t="s">
        <v>22</v>
      </c>
      <c r="C364" t="s">
        <v>32</v>
      </c>
      <c r="D364">
        <v>4.13</v>
      </c>
      <c r="E364">
        <v>118</v>
      </c>
      <c r="F364">
        <v>3.21</v>
      </c>
      <c r="G364">
        <v>85</v>
      </c>
      <c r="H364" s="1">
        <v>45005.847222222219</v>
      </c>
      <c r="I364" s="1">
        <v>45005.929166666669</v>
      </c>
      <c r="J364" s="1">
        <v>45005.84375</v>
      </c>
      <c r="K364" s="1">
        <v>45005.925694444442</v>
      </c>
      <c r="L364" t="s">
        <v>16</v>
      </c>
      <c r="M364" t="s">
        <v>20</v>
      </c>
    </row>
    <row r="365" spans="1:13" x14ac:dyDescent="0.3">
      <c r="A365" t="s">
        <v>393</v>
      </c>
      <c r="B365" t="s">
        <v>34</v>
      </c>
      <c r="C365" t="s">
        <v>23</v>
      </c>
      <c r="D365">
        <v>2.57</v>
      </c>
      <c r="E365">
        <v>115</v>
      </c>
      <c r="F365">
        <v>6.41</v>
      </c>
      <c r="G365">
        <v>81</v>
      </c>
      <c r="H365" s="1">
        <v>45005.854166666664</v>
      </c>
      <c r="I365" s="1">
        <v>45005.934027777781</v>
      </c>
      <c r="J365" s="1">
        <v>45005.856249999997</v>
      </c>
      <c r="K365" s="1">
        <v>45005.936111111114</v>
      </c>
      <c r="L365" t="s">
        <v>16</v>
      </c>
      <c r="M365" t="s">
        <v>28</v>
      </c>
    </row>
    <row r="366" spans="1:13" x14ac:dyDescent="0.3">
      <c r="A366" t="s">
        <v>394</v>
      </c>
      <c r="B366" t="s">
        <v>34</v>
      </c>
      <c r="C366" t="s">
        <v>23</v>
      </c>
      <c r="D366">
        <v>4.3600000000000003</v>
      </c>
      <c r="E366">
        <v>106</v>
      </c>
      <c r="F366">
        <v>9.52</v>
      </c>
      <c r="G366">
        <v>94</v>
      </c>
      <c r="H366" s="1">
        <v>45005.861111111109</v>
      </c>
      <c r="I366" s="1">
        <v>45005.93472222222</v>
      </c>
      <c r="J366" s="1">
        <v>45005.859027777777</v>
      </c>
      <c r="K366" s="1">
        <v>45005.932638888888</v>
      </c>
      <c r="L366" t="s">
        <v>16</v>
      </c>
      <c r="M366" t="s">
        <v>20</v>
      </c>
    </row>
    <row r="367" spans="1:13" x14ac:dyDescent="0.3">
      <c r="A367" t="s">
        <v>395</v>
      </c>
      <c r="B367" t="s">
        <v>40</v>
      </c>
      <c r="C367" t="s">
        <v>36</v>
      </c>
      <c r="D367">
        <v>1.1499999999999999</v>
      </c>
      <c r="E367">
        <v>47</v>
      </c>
      <c r="F367">
        <v>12.4</v>
      </c>
      <c r="G367">
        <v>92</v>
      </c>
      <c r="H367" s="1">
        <v>45005.868055555555</v>
      </c>
      <c r="I367" s="1">
        <v>45005.900694444441</v>
      </c>
      <c r="J367" s="1">
        <v>45005.869444444441</v>
      </c>
      <c r="K367" s="1">
        <v>45005.902083333334</v>
      </c>
      <c r="L367" t="s">
        <v>16</v>
      </c>
      <c r="M367" t="s">
        <v>17</v>
      </c>
    </row>
    <row r="368" spans="1:13" x14ac:dyDescent="0.3">
      <c r="A368" t="s">
        <v>396</v>
      </c>
      <c r="B368" t="s">
        <v>34</v>
      </c>
      <c r="C368" t="s">
        <v>36</v>
      </c>
      <c r="D368">
        <v>3.64</v>
      </c>
      <c r="E368">
        <v>38</v>
      </c>
      <c r="F368">
        <v>12.38</v>
      </c>
      <c r="G368">
        <v>93</v>
      </c>
      <c r="H368" s="1">
        <v>45005.875</v>
      </c>
      <c r="I368" s="1">
        <v>45005.901388888888</v>
      </c>
      <c r="J368" s="1">
        <v>45005.876388888886</v>
      </c>
      <c r="K368" s="1">
        <v>45005.902777777781</v>
      </c>
      <c r="L368" t="s">
        <v>16</v>
      </c>
      <c r="M368" t="s">
        <v>17</v>
      </c>
    </row>
    <row r="369" spans="1:13" x14ac:dyDescent="0.3">
      <c r="A369" t="s">
        <v>397</v>
      </c>
      <c r="B369" t="s">
        <v>40</v>
      </c>
      <c r="C369" t="s">
        <v>15</v>
      </c>
      <c r="D369">
        <v>3.79</v>
      </c>
      <c r="E369">
        <v>63</v>
      </c>
      <c r="F369">
        <v>8.9600000000000009</v>
      </c>
      <c r="G369">
        <v>85</v>
      </c>
      <c r="H369" s="1">
        <v>45005.881944444445</v>
      </c>
      <c r="I369" s="1">
        <v>45005.925694444442</v>
      </c>
      <c r="J369" s="1">
        <v>45005.885416666664</v>
      </c>
      <c r="K369" s="1">
        <v>45005.929166666669</v>
      </c>
      <c r="L369" t="s">
        <v>16</v>
      </c>
      <c r="M369" t="s">
        <v>17</v>
      </c>
    </row>
    <row r="370" spans="1:13" x14ac:dyDescent="0.3">
      <c r="A370" t="s">
        <v>398</v>
      </c>
      <c r="B370" t="s">
        <v>22</v>
      </c>
      <c r="C370" t="s">
        <v>15</v>
      </c>
      <c r="D370">
        <v>1.6</v>
      </c>
      <c r="E370">
        <v>76</v>
      </c>
      <c r="F370">
        <v>5.98</v>
      </c>
      <c r="G370">
        <v>90</v>
      </c>
      <c r="H370" s="1">
        <v>45005.888888888891</v>
      </c>
      <c r="I370" s="1">
        <v>45005.941666666666</v>
      </c>
      <c r="J370" s="1">
        <v>45005.885416666664</v>
      </c>
      <c r="K370" s="1">
        <v>45005.938194444447</v>
      </c>
      <c r="L370" t="s">
        <v>16</v>
      </c>
      <c r="M370" t="s">
        <v>20</v>
      </c>
    </row>
    <row r="371" spans="1:13" x14ac:dyDescent="0.3">
      <c r="A371" t="s">
        <v>399</v>
      </c>
      <c r="B371" t="s">
        <v>22</v>
      </c>
      <c r="C371" t="s">
        <v>32</v>
      </c>
      <c r="D371">
        <v>4.43</v>
      </c>
      <c r="E371">
        <v>47</v>
      </c>
      <c r="F371">
        <v>14.26</v>
      </c>
      <c r="G371">
        <v>92</v>
      </c>
      <c r="H371" s="1">
        <v>45005.895833333336</v>
      </c>
      <c r="I371" s="1">
        <v>45005.928472222222</v>
      </c>
      <c r="L371" t="s">
        <v>24</v>
      </c>
      <c r="M371" t="s">
        <v>20</v>
      </c>
    </row>
    <row r="372" spans="1:13" x14ac:dyDescent="0.3">
      <c r="A372" t="s">
        <v>400</v>
      </c>
      <c r="B372" t="s">
        <v>14</v>
      </c>
      <c r="C372" t="s">
        <v>27</v>
      </c>
      <c r="D372">
        <v>2.29</v>
      </c>
      <c r="E372">
        <v>32</v>
      </c>
      <c r="F372">
        <v>4.38</v>
      </c>
      <c r="G372">
        <v>88</v>
      </c>
      <c r="H372" s="1">
        <v>45005.902777777781</v>
      </c>
      <c r="I372" s="1">
        <v>45005.925000000003</v>
      </c>
      <c r="J372" s="1">
        <v>45005.902083333334</v>
      </c>
      <c r="K372" s="1">
        <v>45005.924305555556</v>
      </c>
      <c r="L372" t="s">
        <v>16</v>
      </c>
      <c r="M372" t="s">
        <v>20</v>
      </c>
    </row>
    <row r="373" spans="1:13" x14ac:dyDescent="0.3">
      <c r="A373" t="s">
        <v>401</v>
      </c>
      <c r="B373" t="s">
        <v>40</v>
      </c>
      <c r="C373" t="s">
        <v>27</v>
      </c>
      <c r="D373">
        <v>4.54</v>
      </c>
      <c r="E373">
        <v>78</v>
      </c>
      <c r="F373">
        <v>9.06</v>
      </c>
      <c r="G373">
        <v>82</v>
      </c>
      <c r="H373" s="1">
        <v>45005.909722222219</v>
      </c>
      <c r="I373" s="1">
        <v>45005.963888888888</v>
      </c>
      <c r="J373" s="1">
        <v>45005.92083333333</v>
      </c>
      <c r="K373" s="1">
        <v>45005.974999999999</v>
      </c>
      <c r="L373" t="s">
        <v>19</v>
      </c>
      <c r="M373" t="s">
        <v>20</v>
      </c>
    </row>
    <row r="374" spans="1:13" x14ac:dyDescent="0.3">
      <c r="A374" t="s">
        <v>402</v>
      </c>
      <c r="B374" t="s">
        <v>34</v>
      </c>
      <c r="C374" t="s">
        <v>15</v>
      </c>
      <c r="D374">
        <v>1.1000000000000001</v>
      </c>
      <c r="E374">
        <v>95</v>
      </c>
      <c r="F374">
        <v>4.05</v>
      </c>
      <c r="G374">
        <v>89</v>
      </c>
      <c r="H374" s="1">
        <v>45005.916666666664</v>
      </c>
      <c r="I374" s="1">
        <v>45005.982638888891</v>
      </c>
      <c r="J374" s="1">
        <v>45005.915972222225</v>
      </c>
      <c r="K374" s="1">
        <v>45005.981944444444</v>
      </c>
      <c r="L374" t="s">
        <v>16</v>
      </c>
      <c r="M374" t="s">
        <v>20</v>
      </c>
    </row>
    <row r="375" spans="1:13" x14ac:dyDescent="0.3">
      <c r="A375" t="s">
        <v>403</v>
      </c>
      <c r="B375" t="s">
        <v>30</v>
      </c>
      <c r="C375" t="s">
        <v>32</v>
      </c>
      <c r="D375">
        <v>3.88</v>
      </c>
      <c r="E375">
        <v>48</v>
      </c>
      <c r="F375">
        <v>7.49</v>
      </c>
      <c r="G375">
        <v>98</v>
      </c>
      <c r="H375" s="1">
        <v>45005.923611111109</v>
      </c>
      <c r="I375" s="1">
        <v>45005.956944444442</v>
      </c>
      <c r="J375" s="1">
        <v>45005.92291666667</v>
      </c>
      <c r="K375" s="1">
        <v>45005.956250000003</v>
      </c>
      <c r="L375" t="s">
        <v>16</v>
      </c>
      <c r="M375" t="s">
        <v>20</v>
      </c>
    </row>
    <row r="376" spans="1:13" x14ac:dyDescent="0.3">
      <c r="A376" t="s">
        <v>404</v>
      </c>
      <c r="B376" t="s">
        <v>34</v>
      </c>
      <c r="C376" t="s">
        <v>23</v>
      </c>
      <c r="D376">
        <v>1.59</v>
      </c>
      <c r="E376">
        <v>110</v>
      </c>
      <c r="F376">
        <v>12.16</v>
      </c>
      <c r="G376">
        <v>82</v>
      </c>
      <c r="H376" s="1">
        <v>45005.930555555555</v>
      </c>
      <c r="I376" s="1">
        <v>45006.006944444445</v>
      </c>
      <c r="L376" t="s">
        <v>24</v>
      </c>
      <c r="M376" t="s">
        <v>20</v>
      </c>
    </row>
    <row r="377" spans="1:13" x14ac:dyDescent="0.3">
      <c r="A377" t="s">
        <v>405</v>
      </c>
      <c r="B377" t="s">
        <v>22</v>
      </c>
      <c r="C377" t="s">
        <v>36</v>
      </c>
      <c r="D377">
        <v>3.87</v>
      </c>
      <c r="E377">
        <v>52</v>
      </c>
      <c r="F377">
        <v>13.19</v>
      </c>
      <c r="G377">
        <v>88</v>
      </c>
      <c r="H377" s="1">
        <v>45005.9375</v>
      </c>
      <c r="I377" s="1">
        <v>45005.973611111112</v>
      </c>
      <c r="J377" s="1">
        <v>45005.934027777781</v>
      </c>
      <c r="K377" s="1">
        <v>45005.970138888886</v>
      </c>
      <c r="L377" t="s">
        <v>16</v>
      </c>
      <c r="M377" t="s">
        <v>20</v>
      </c>
    </row>
    <row r="378" spans="1:13" x14ac:dyDescent="0.3">
      <c r="A378" t="s">
        <v>406</v>
      </c>
      <c r="B378" t="s">
        <v>30</v>
      </c>
      <c r="C378" t="s">
        <v>32</v>
      </c>
      <c r="D378">
        <v>2.39</v>
      </c>
      <c r="E378">
        <v>61</v>
      </c>
      <c r="F378">
        <v>6.11</v>
      </c>
      <c r="G378">
        <v>94</v>
      </c>
      <c r="H378" s="1">
        <v>45005.944444444445</v>
      </c>
      <c r="I378" s="1">
        <v>45005.986805555556</v>
      </c>
      <c r="J378" s="1">
        <v>45005.946527777778</v>
      </c>
      <c r="K378" s="1">
        <v>45005.988888888889</v>
      </c>
      <c r="L378" t="s">
        <v>16</v>
      </c>
      <c r="M378" t="s">
        <v>28</v>
      </c>
    </row>
    <row r="379" spans="1:13" x14ac:dyDescent="0.3">
      <c r="A379" t="s">
        <v>407</v>
      </c>
      <c r="B379" t="s">
        <v>14</v>
      </c>
      <c r="C379" t="s">
        <v>15</v>
      </c>
      <c r="D379">
        <v>1.78</v>
      </c>
      <c r="E379">
        <v>63</v>
      </c>
      <c r="F379">
        <v>4.78</v>
      </c>
      <c r="G379">
        <v>97</v>
      </c>
      <c r="H379" s="1">
        <v>45005.951388888891</v>
      </c>
      <c r="I379" s="1">
        <v>45005.995138888888</v>
      </c>
      <c r="L379" t="s">
        <v>24</v>
      </c>
      <c r="M379" t="s">
        <v>20</v>
      </c>
    </row>
    <row r="380" spans="1:13" x14ac:dyDescent="0.3">
      <c r="A380" t="s">
        <v>408</v>
      </c>
      <c r="B380" t="s">
        <v>14</v>
      </c>
      <c r="C380" t="s">
        <v>23</v>
      </c>
      <c r="D380">
        <v>4.05</v>
      </c>
      <c r="E380">
        <v>47</v>
      </c>
      <c r="F380">
        <v>5.13</v>
      </c>
      <c r="G380">
        <v>81</v>
      </c>
      <c r="H380" s="1">
        <v>45005.958333333336</v>
      </c>
      <c r="I380" s="1">
        <v>45005.990972222222</v>
      </c>
      <c r="J380" s="1">
        <v>45005.956250000003</v>
      </c>
      <c r="K380" s="1">
        <v>45005.988888888889</v>
      </c>
      <c r="L380" t="s">
        <v>16</v>
      </c>
      <c r="M380" t="s">
        <v>20</v>
      </c>
    </row>
    <row r="381" spans="1:13" x14ac:dyDescent="0.3">
      <c r="A381" t="s">
        <v>409</v>
      </c>
      <c r="B381" t="s">
        <v>30</v>
      </c>
      <c r="C381" t="s">
        <v>27</v>
      </c>
      <c r="D381">
        <v>3.25</v>
      </c>
      <c r="E381">
        <v>46</v>
      </c>
      <c r="F381">
        <v>4.7</v>
      </c>
      <c r="G381">
        <v>98</v>
      </c>
      <c r="H381" s="1">
        <v>45005.965277777781</v>
      </c>
      <c r="I381" s="1">
        <v>45005.99722222222</v>
      </c>
      <c r="J381" s="1">
        <v>45005.966666666667</v>
      </c>
      <c r="K381" s="1">
        <v>45005.998611111114</v>
      </c>
      <c r="L381" t="s">
        <v>16</v>
      </c>
      <c r="M381" t="s">
        <v>28</v>
      </c>
    </row>
    <row r="382" spans="1:13" x14ac:dyDescent="0.3">
      <c r="A382" t="s">
        <v>410</v>
      </c>
      <c r="B382" t="s">
        <v>14</v>
      </c>
      <c r="C382" t="s">
        <v>23</v>
      </c>
      <c r="D382">
        <v>1.33</v>
      </c>
      <c r="E382">
        <v>89</v>
      </c>
      <c r="F382">
        <v>7.85</v>
      </c>
      <c r="G382">
        <v>86</v>
      </c>
      <c r="H382" s="1">
        <v>45005.972222222219</v>
      </c>
      <c r="I382" s="1">
        <v>45006.03402777778</v>
      </c>
      <c r="J382" s="1">
        <v>45005.973611111112</v>
      </c>
      <c r="K382" s="1">
        <v>45006.035416666666</v>
      </c>
      <c r="L382" t="s">
        <v>16</v>
      </c>
      <c r="M382" t="s">
        <v>28</v>
      </c>
    </row>
    <row r="383" spans="1:13" x14ac:dyDescent="0.3">
      <c r="A383" t="s">
        <v>411</v>
      </c>
      <c r="B383" t="s">
        <v>22</v>
      </c>
      <c r="C383" t="s">
        <v>27</v>
      </c>
      <c r="D383">
        <v>3.53</v>
      </c>
      <c r="E383">
        <v>72</v>
      </c>
      <c r="F383">
        <v>14.49</v>
      </c>
      <c r="G383">
        <v>99</v>
      </c>
      <c r="H383" s="1">
        <v>45005.979166666664</v>
      </c>
      <c r="I383" s="1">
        <v>45006.029166666667</v>
      </c>
      <c r="J383" s="1">
        <v>45005.980555555558</v>
      </c>
      <c r="K383" s="1">
        <v>45006.030555555553</v>
      </c>
      <c r="L383" t="s">
        <v>16</v>
      </c>
      <c r="M383" t="s">
        <v>17</v>
      </c>
    </row>
    <row r="384" spans="1:13" x14ac:dyDescent="0.3">
      <c r="A384" t="s">
        <v>412</v>
      </c>
      <c r="B384" t="s">
        <v>14</v>
      </c>
      <c r="C384" t="s">
        <v>27</v>
      </c>
      <c r="D384">
        <v>1.0900000000000001</v>
      </c>
      <c r="E384">
        <v>65</v>
      </c>
      <c r="F384">
        <v>3.68</v>
      </c>
      <c r="G384">
        <v>81</v>
      </c>
      <c r="H384" s="1">
        <v>45005.986111111109</v>
      </c>
      <c r="I384" s="1">
        <v>45006.03125</v>
      </c>
      <c r="J384" s="1">
        <v>45006.000694444447</v>
      </c>
      <c r="K384" s="1">
        <v>45006.04583333333</v>
      </c>
      <c r="L384" t="s">
        <v>19</v>
      </c>
      <c r="M384" t="s">
        <v>20</v>
      </c>
    </row>
    <row r="385" spans="1:13" x14ac:dyDescent="0.3">
      <c r="A385" t="s">
        <v>413</v>
      </c>
      <c r="B385" t="s">
        <v>14</v>
      </c>
      <c r="C385" t="s">
        <v>15</v>
      </c>
      <c r="D385">
        <v>2.66</v>
      </c>
      <c r="E385">
        <v>50</v>
      </c>
      <c r="F385">
        <v>11.62</v>
      </c>
      <c r="G385">
        <v>91</v>
      </c>
      <c r="H385" s="1">
        <v>45005.993055555555</v>
      </c>
      <c r="I385" s="1">
        <v>45006.027777777781</v>
      </c>
      <c r="J385" s="1">
        <v>45005.992361111108</v>
      </c>
      <c r="K385" s="1">
        <v>45006.027083333334</v>
      </c>
      <c r="L385" t="s">
        <v>16</v>
      </c>
      <c r="M385" t="s">
        <v>20</v>
      </c>
    </row>
    <row r="386" spans="1:13" x14ac:dyDescent="0.3">
      <c r="A386" t="s">
        <v>414</v>
      </c>
      <c r="B386" t="s">
        <v>30</v>
      </c>
      <c r="C386" t="s">
        <v>32</v>
      </c>
      <c r="D386">
        <v>4.75</v>
      </c>
      <c r="E386">
        <v>59</v>
      </c>
      <c r="F386">
        <v>3.65</v>
      </c>
      <c r="G386">
        <v>80</v>
      </c>
      <c r="H386" s="1">
        <v>45006</v>
      </c>
      <c r="I386" s="1">
        <v>45006.040972222225</v>
      </c>
      <c r="J386" s="1">
        <v>45006</v>
      </c>
      <c r="K386" s="1">
        <v>45006.040972222225</v>
      </c>
      <c r="L386" t="s">
        <v>16</v>
      </c>
      <c r="M386" t="s">
        <v>28</v>
      </c>
    </row>
    <row r="387" spans="1:13" x14ac:dyDescent="0.3">
      <c r="A387" t="s">
        <v>415</v>
      </c>
      <c r="B387" t="s">
        <v>34</v>
      </c>
      <c r="C387" t="s">
        <v>15</v>
      </c>
      <c r="D387">
        <v>2.75</v>
      </c>
      <c r="E387">
        <v>73</v>
      </c>
      <c r="F387">
        <v>5.47</v>
      </c>
      <c r="G387">
        <v>87</v>
      </c>
      <c r="H387" s="1">
        <v>45006.006944444445</v>
      </c>
      <c r="I387" s="1">
        <v>45006.057638888888</v>
      </c>
      <c r="J387" s="1">
        <v>45006.009027777778</v>
      </c>
      <c r="K387" s="1">
        <v>45006.05972222222</v>
      </c>
      <c r="L387" t="s">
        <v>16</v>
      </c>
      <c r="M387" t="s">
        <v>28</v>
      </c>
    </row>
    <row r="388" spans="1:13" x14ac:dyDescent="0.3">
      <c r="A388" t="s">
        <v>416</v>
      </c>
      <c r="B388" t="s">
        <v>14</v>
      </c>
      <c r="C388" t="s">
        <v>15</v>
      </c>
      <c r="D388">
        <v>3.21</v>
      </c>
      <c r="E388">
        <v>42</v>
      </c>
      <c r="F388">
        <v>4.47</v>
      </c>
      <c r="G388">
        <v>99</v>
      </c>
      <c r="H388" s="1">
        <v>45006.013888888891</v>
      </c>
      <c r="I388" s="1">
        <v>45006.043055555558</v>
      </c>
      <c r="J388" s="1">
        <v>45006.011111111111</v>
      </c>
      <c r="K388" s="1">
        <v>45006.040277777778</v>
      </c>
      <c r="L388" t="s">
        <v>16</v>
      </c>
      <c r="M388" t="s">
        <v>20</v>
      </c>
    </row>
    <row r="389" spans="1:13" x14ac:dyDescent="0.3">
      <c r="A389" t="s">
        <v>417</v>
      </c>
      <c r="B389" t="s">
        <v>34</v>
      </c>
      <c r="C389" t="s">
        <v>32</v>
      </c>
      <c r="D389">
        <v>1.2</v>
      </c>
      <c r="E389">
        <v>24</v>
      </c>
      <c r="F389">
        <v>11.46</v>
      </c>
      <c r="G389">
        <v>97</v>
      </c>
      <c r="H389" s="1">
        <v>45006.020833333336</v>
      </c>
      <c r="I389" s="1">
        <v>45006.037499999999</v>
      </c>
      <c r="J389" s="1">
        <v>45006.019444444442</v>
      </c>
      <c r="K389" s="1">
        <v>45006.036111111112</v>
      </c>
      <c r="L389" t="s">
        <v>16</v>
      </c>
      <c r="M389" t="s">
        <v>20</v>
      </c>
    </row>
    <row r="390" spans="1:13" x14ac:dyDescent="0.3">
      <c r="A390" t="s">
        <v>418</v>
      </c>
      <c r="B390" t="s">
        <v>14</v>
      </c>
      <c r="C390" t="s">
        <v>23</v>
      </c>
      <c r="D390">
        <v>4.5599999999999996</v>
      </c>
      <c r="E390">
        <v>71</v>
      </c>
      <c r="F390">
        <v>9.02</v>
      </c>
      <c r="G390">
        <v>83</v>
      </c>
      <c r="H390" s="1">
        <v>45006.027777777781</v>
      </c>
      <c r="I390" s="1">
        <v>45006.07708333333</v>
      </c>
      <c r="J390" s="1">
        <v>45006.027777777781</v>
      </c>
      <c r="K390" s="1">
        <v>45006.07708333333</v>
      </c>
      <c r="L390" t="s">
        <v>16</v>
      </c>
      <c r="M390" t="s">
        <v>28</v>
      </c>
    </row>
    <row r="391" spans="1:13" x14ac:dyDescent="0.3">
      <c r="A391" t="s">
        <v>419</v>
      </c>
      <c r="B391" t="s">
        <v>22</v>
      </c>
      <c r="C391" t="s">
        <v>15</v>
      </c>
      <c r="D391">
        <v>3.63</v>
      </c>
      <c r="E391">
        <v>76</v>
      </c>
      <c r="F391">
        <v>11.35</v>
      </c>
      <c r="G391">
        <v>93</v>
      </c>
      <c r="H391" s="1">
        <v>45006.034722222219</v>
      </c>
      <c r="I391" s="1">
        <v>45006.087500000001</v>
      </c>
      <c r="J391" s="1">
        <v>45006.044444444444</v>
      </c>
      <c r="K391" s="1">
        <v>45006.097222222219</v>
      </c>
      <c r="L391" t="s">
        <v>19</v>
      </c>
      <c r="M391" t="s">
        <v>20</v>
      </c>
    </row>
    <row r="392" spans="1:13" x14ac:dyDescent="0.3">
      <c r="A392" t="s">
        <v>420</v>
      </c>
      <c r="B392" t="s">
        <v>40</v>
      </c>
      <c r="C392" t="s">
        <v>27</v>
      </c>
      <c r="D392">
        <v>2.59</v>
      </c>
      <c r="E392">
        <v>35</v>
      </c>
      <c r="F392">
        <v>4.83</v>
      </c>
      <c r="G392">
        <v>83</v>
      </c>
      <c r="H392" s="1">
        <v>45006.041666666664</v>
      </c>
      <c r="I392" s="1">
        <v>45006.065972222219</v>
      </c>
      <c r="J392" s="1">
        <v>45006.040277777778</v>
      </c>
      <c r="K392" s="1">
        <v>45006.064583333333</v>
      </c>
      <c r="L392" t="s">
        <v>16</v>
      </c>
      <c r="M392" t="s">
        <v>20</v>
      </c>
    </row>
    <row r="393" spans="1:13" x14ac:dyDescent="0.3">
      <c r="A393" t="s">
        <v>421</v>
      </c>
      <c r="B393" t="s">
        <v>14</v>
      </c>
      <c r="C393" t="s">
        <v>32</v>
      </c>
      <c r="D393">
        <v>2.92</v>
      </c>
      <c r="E393">
        <v>96</v>
      </c>
      <c r="F393">
        <v>10.86</v>
      </c>
      <c r="G393">
        <v>87</v>
      </c>
      <c r="H393" s="1">
        <v>45006.048611111109</v>
      </c>
      <c r="I393" s="1">
        <v>45006.115277777775</v>
      </c>
      <c r="J393" s="1">
        <v>45006.04583333333</v>
      </c>
      <c r="K393" s="1">
        <v>45006.112500000003</v>
      </c>
      <c r="L393" t="s">
        <v>16</v>
      </c>
      <c r="M393" t="s">
        <v>20</v>
      </c>
    </row>
    <row r="394" spans="1:13" x14ac:dyDescent="0.3">
      <c r="A394" t="s">
        <v>422</v>
      </c>
      <c r="B394" t="s">
        <v>14</v>
      </c>
      <c r="C394" t="s">
        <v>15</v>
      </c>
      <c r="D394">
        <v>2.96</v>
      </c>
      <c r="E394">
        <v>69</v>
      </c>
      <c r="F394">
        <v>2.09</v>
      </c>
      <c r="G394">
        <v>95</v>
      </c>
      <c r="H394" s="1">
        <v>45006.055555555555</v>
      </c>
      <c r="I394" s="1">
        <v>45006.103472222225</v>
      </c>
      <c r="J394" s="1">
        <v>45006.053472222222</v>
      </c>
      <c r="K394" s="1">
        <v>45006.101388888892</v>
      </c>
      <c r="L394" t="s">
        <v>16</v>
      </c>
      <c r="M394" t="s">
        <v>20</v>
      </c>
    </row>
    <row r="395" spans="1:13" x14ac:dyDescent="0.3">
      <c r="A395" t="s">
        <v>423</v>
      </c>
      <c r="B395" t="s">
        <v>30</v>
      </c>
      <c r="C395" t="s">
        <v>32</v>
      </c>
      <c r="D395">
        <v>2.5</v>
      </c>
      <c r="E395">
        <v>74</v>
      </c>
      <c r="F395">
        <v>10.7</v>
      </c>
      <c r="G395">
        <v>96</v>
      </c>
      <c r="H395" s="1">
        <v>45006.0625</v>
      </c>
      <c r="I395" s="1">
        <v>45006.113888888889</v>
      </c>
      <c r="J395" s="1">
        <v>45006.063888888886</v>
      </c>
      <c r="K395" s="1">
        <v>45006.115277777775</v>
      </c>
      <c r="L395" t="s">
        <v>16</v>
      </c>
      <c r="M395" t="s">
        <v>17</v>
      </c>
    </row>
    <row r="396" spans="1:13" x14ac:dyDescent="0.3">
      <c r="A396" t="s">
        <v>424</v>
      </c>
      <c r="B396" t="s">
        <v>40</v>
      </c>
      <c r="C396" t="s">
        <v>27</v>
      </c>
      <c r="D396">
        <v>2.89</v>
      </c>
      <c r="E396">
        <v>66</v>
      </c>
      <c r="F396">
        <v>13</v>
      </c>
      <c r="G396">
        <v>87</v>
      </c>
      <c r="H396" s="1">
        <v>45006.069444444445</v>
      </c>
      <c r="I396" s="1">
        <v>45006.115277777775</v>
      </c>
      <c r="J396" s="1">
        <v>45006.067361111112</v>
      </c>
      <c r="K396" s="1">
        <v>45006.113194444442</v>
      </c>
      <c r="L396" t="s">
        <v>16</v>
      </c>
      <c r="M396" t="s">
        <v>20</v>
      </c>
    </row>
    <row r="397" spans="1:13" x14ac:dyDescent="0.3">
      <c r="A397" t="s">
        <v>425</v>
      </c>
      <c r="B397" t="s">
        <v>30</v>
      </c>
      <c r="C397" t="s">
        <v>32</v>
      </c>
      <c r="D397">
        <v>1.98</v>
      </c>
      <c r="E397">
        <v>67</v>
      </c>
      <c r="F397">
        <v>6.88</v>
      </c>
      <c r="G397">
        <v>89</v>
      </c>
      <c r="H397" s="1">
        <v>45006.076388888891</v>
      </c>
      <c r="I397" s="1">
        <v>45006.122916666667</v>
      </c>
      <c r="J397" s="1">
        <v>45006.073611111111</v>
      </c>
      <c r="K397" s="1">
        <v>45006.120138888888</v>
      </c>
      <c r="L397" t="s">
        <v>16</v>
      </c>
      <c r="M397" t="s">
        <v>20</v>
      </c>
    </row>
    <row r="398" spans="1:13" x14ac:dyDescent="0.3">
      <c r="A398" t="s">
        <v>426</v>
      </c>
      <c r="B398" t="s">
        <v>34</v>
      </c>
      <c r="C398" t="s">
        <v>27</v>
      </c>
      <c r="D398">
        <v>4.28</v>
      </c>
      <c r="E398">
        <v>23</v>
      </c>
      <c r="F398">
        <v>8.52</v>
      </c>
      <c r="G398">
        <v>81</v>
      </c>
      <c r="H398" s="1">
        <v>45006.083333333336</v>
      </c>
      <c r="I398" s="1">
        <v>45006.099305555559</v>
      </c>
      <c r="L398" t="s">
        <v>24</v>
      </c>
      <c r="M398" t="s">
        <v>20</v>
      </c>
    </row>
    <row r="399" spans="1:13" x14ac:dyDescent="0.3">
      <c r="A399" t="s">
        <v>427</v>
      </c>
      <c r="B399" t="s">
        <v>14</v>
      </c>
      <c r="C399" t="s">
        <v>15</v>
      </c>
      <c r="D399">
        <v>4.09</v>
      </c>
      <c r="E399">
        <v>82</v>
      </c>
      <c r="F399">
        <v>13.87</v>
      </c>
      <c r="G399">
        <v>86</v>
      </c>
      <c r="H399" s="1">
        <v>45006.090277777781</v>
      </c>
      <c r="I399" s="1">
        <v>45006.147222222222</v>
      </c>
      <c r="J399" s="1">
        <v>45006.089583333334</v>
      </c>
      <c r="K399" s="1">
        <v>45006.146527777775</v>
      </c>
      <c r="L399" t="s">
        <v>16</v>
      </c>
      <c r="M399" t="s">
        <v>20</v>
      </c>
    </row>
    <row r="400" spans="1:13" x14ac:dyDescent="0.3">
      <c r="A400" t="s">
        <v>428</v>
      </c>
      <c r="B400" t="s">
        <v>34</v>
      </c>
      <c r="C400" t="s">
        <v>23</v>
      </c>
      <c r="D400">
        <v>4.76</v>
      </c>
      <c r="E400">
        <v>80</v>
      </c>
      <c r="F400">
        <v>12.18</v>
      </c>
      <c r="G400">
        <v>91</v>
      </c>
      <c r="H400" s="1">
        <v>45006.097222222219</v>
      </c>
      <c r="I400" s="1">
        <v>45006.152777777781</v>
      </c>
      <c r="J400" s="1">
        <v>45006.09652777778</v>
      </c>
      <c r="K400" s="1">
        <v>45006.152083333334</v>
      </c>
      <c r="L400" t="s">
        <v>16</v>
      </c>
      <c r="M400" t="s">
        <v>20</v>
      </c>
    </row>
    <row r="401" spans="1:13" x14ac:dyDescent="0.3">
      <c r="A401" t="s">
        <v>429</v>
      </c>
      <c r="B401" t="s">
        <v>30</v>
      </c>
      <c r="C401" t="s">
        <v>15</v>
      </c>
      <c r="D401">
        <v>4.34</v>
      </c>
      <c r="E401">
        <v>24</v>
      </c>
      <c r="F401">
        <v>2.23</v>
      </c>
      <c r="G401">
        <v>95</v>
      </c>
      <c r="H401" s="1">
        <v>45006.104166666664</v>
      </c>
      <c r="I401" s="1">
        <v>45006.120833333334</v>
      </c>
      <c r="J401" s="1">
        <v>45006.125</v>
      </c>
      <c r="K401" s="1">
        <v>45006.14166666667</v>
      </c>
      <c r="L401" t="s">
        <v>19</v>
      </c>
      <c r="M401" t="s">
        <v>20</v>
      </c>
    </row>
    <row r="402" spans="1:13" x14ac:dyDescent="0.3">
      <c r="A402" t="s">
        <v>430</v>
      </c>
      <c r="B402" t="s">
        <v>22</v>
      </c>
      <c r="C402" t="s">
        <v>15</v>
      </c>
      <c r="D402">
        <v>4.2699999999999996</v>
      </c>
      <c r="E402">
        <v>49</v>
      </c>
      <c r="F402">
        <v>8.1</v>
      </c>
      <c r="G402">
        <v>96</v>
      </c>
      <c r="H402" s="1">
        <v>45006.111111111109</v>
      </c>
      <c r="I402" s="1">
        <v>45006.145138888889</v>
      </c>
      <c r="L402" t="s">
        <v>24</v>
      </c>
      <c r="M402" t="s">
        <v>20</v>
      </c>
    </row>
    <row r="403" spans="1:13" x14ac:dyDescent="0.3">
      <c r="A403" t="s">
        <v>431</v>
      </c>
      <c r="B403" t="s">
        <v>22</v>
      </c>
      <c r="C403" t="s">
        <v>32</v>
      </c>
      <c r="D403">
        <v>2.94</v>
      </c>
      <c r="E403">
        <v>113</v>
      </c>
      <c r="F403">
        <v>10.78</v>
      </c>
      <c r="G403">
        <v>94</v>
      </c>
      <c r="H403" s="1">
        <v>45006.118055555555</v>
      </c>
      <c r="I403" s="1">
        <v>45006.196527777778</v>
      </c>
      <c r="J403" s="1">
        <v>45006.116666666669</v>
      </c>
      <c r="K403" s="1">
        <v>45006.195138888892</v>
      </c>
      <c r="L403" t="s">
        <v>16</v>
      </c>
      <c r="M403" t="s">
        <v>20</v>
      </c>
    </row>
    <row r="404" spans="1:13" x14ac:dyDescent="0.3">
      <c r="A404" t="s">
        <v>432</v>
      </c>
      <c r="B404" t="s">
        <v>34</v>
      </c>
      <c r="C404" t="s">
        <v>15</v>
      </c>
      <c r="D404">
        <v>2.0699999999999998</v>
      </c>
      <c r="E404">
        <v>113</v>
      </c>
      <c r="F404">
        <v>11.6</v>
      </c>
      <c r="G404">
        <v>96</v>
      </c>
      <c r="H404" s="1">
        <v>45006.125</v>
      </c>
      <c r="I404" s="1">
        <v>45006.203472222223</v>
      </c>
      <c r="J404" s="1">
        <v>45006.126388888886</v>
      </c>
      <c r="K404" s="1">
        <v>45006.204861111109</v>
      </c>
      <c r="L404" t="s">
        <v>16</v>
      </c>
      <c r="M404" t="s">
        <v>17</v>
      </c>
    </row>
    <row r="405" spans="1:13" x14ac:dyDescent="0.3">
      <c r="A405" t="s">
        <v>433</v>
      </c>
      <c r="B405" t="s">
        <v>14</v>
      </c>
      <c r="C405" t="s">
        <v>32</v>
      </c>
      <c r="D405">
        <v>1.1599999999999999</v>
      </c>
      <c r="E405">
        <v>89</v>
      </c>
      <c r="F405">
        <v>11.11</v>
      </c>
      <c r="G405">
        <v>96</v>
      </c>
      <c r="H405" s="1">
        <v>45006.131944444445</v>
      </c>
      <c r="I405" s="1">
        <v>45006.193749999999</v>
      </c>
      <c r="J405" s="1">
        <v>45006.14166666667</v>
      </c>
      <c r="K405" s="1">
        <v>45006.203472222223</v>
      </c>
      <c r="L405" t="s">
        <v>19</v>
      </c>
      <c r="M405" t="s">
        <v>20</v>
      </c>
    </row>
    <row r="406" spans="1:13" x14ac:dyDescent="0.3">
      <c r="A406" t="s">
        <v>434</v>
      </c>
      <c r="B406" t="s">
        <v>40</v>
      </c>
      <c r="C406" t="s">
        <v>36</v>
      </c>
      <c r="D406">
        <v>3.04</v>
      </c>
      <c r="E406">
        <v>100</v>
      </c>
      <c r="F406">
        <v>8.0500000000000007</v>
      </c>
      <c r="G406">
        <v>88</v>
      </c>
      <c r="H406" s="1">
        <v>45006.138888888891</v>
      </c>
      <c r="I406" s="1">
        <v>45006.208333333336</v>
      </c>
      <c r="J406" s="1">
        <v>45006.14166666667</v>
      </c>
      <c r="K406" s="1">
        <v>45006.211111111108</v>
      </c>
      <c r="L406" t="s">
        <v>16</v>
      </c>
      <c r="M406" t="s">
        <v>17</v>
      </c>
    </row>
    <row r="407" spans="1:13" x14ac:dyDescent="0.3">
      <c r="A407" t="s">
        <v>435</v>
      </c>
      <c r="B407" t="s">
        <v>30</v>
      </c>
      <c r="C407" t="s">
        <v>36</v>
      </c>
      <c r="D407">
        <v>1.32</v>
      </c>
      <c r="E407">
        <v>87</v>
      </c>
      <c r="F407">
        <v>3.5</v>
      </c>
      <c r="G407">
        <v>83</v>
      </c>
      <c r="H407" s="1">
        <v>45006.145833333336</v>
      </c>
      <c r="I407" s="1">
        <v>45006.206250000003</v>
      </c>
      <c r="J407" s="1">
        <v>45006.145833333336</v>
      </c>
      <c r="K407" s="1">
        <v>45006.206250000003</v>
      </c>
      <c r="L407" t="s">
        <v>16</v>
      </c>
      <c r="M407" t="s">
        <v>28</v>
      </c>
    </row>
    <row r="408" spans="1:13" x14ac:dyDescent="0.3">
      <c r="A408" t="s">
        <v>436</v>
      </c>
      <c r="B408" t="s">
        <v>30</v>
      </c>
      <c r="C408" t="s">
        <v>36</v>
      </c>
      <c r="D408">
        <v>4.92</v>
      </c>
      <c r="E408">
        <v>120</v>
      </c>
      <c r="F408">
        <v>11.91</v>
      </c>
      <c r="G408">
        <v>90</v>
      </c>
      <c r="H408" s="1">
        <v>45006.152777777781</v>
      </c>
      <c r="I408" s="1">
        <v>45006.236111111109</v>
      </c>
      <c r="J408" s="1">
        <v>45006.17083333333</v>
      </c>
      <c r="K408" s="1">
        <v>45006.254166666666</v>
      </c>
      <c r="L408" t="s">
        <v>19</v>
      </c>
      <c r="M408" t="s">
        <v>20</v>
      </c>
    </row>
    <row r="409" spans="1:13" x14ac:dyDescent="0.3">
      <c r="A409" t="s">
        <v>437</v>
      </c>
      <c r="B409" t="s">
        <v>40</v>
      </c>
      <c r="C409" t="s">
        <v>36</v>
      </c>
      <c r="D409">
        <v>1.42</v>
      </c>
      <c r="E409">
        <v>54</v>
      </c>
      <c r="F409">
        <v>7.62</v>
      </c>
      <c r="G409">
        <v>88</v>
      </c>
      <c r="H409" s="1">
        <v>45006.159722222219</v>
      </c>
      <c r="I409" s="1">
        <v>45006.197222222225</v>
      </c>
      <c r="J409" s="1">
        <v>45006.161111111112</v>
      </c>
      <c r="K409" s="1">
        <v>45006.198611111111</v>
      </c>
      <c r="L409" t="s">
        <v>16</v>
      </c>
      <c r="M409" t="s">
        <v>28</v>
      </c>
    </row>
    <row r="410" spans="1:13" x14ac:dyDescent="0.3">
      <c r="A410" t="s">
        <v>438</v>
      </c>
      <c r="B410" t="s">
        <v>34</v>
      </c>
      <c r="C410" t="s">
        <v>15</v>
      </c>
      <c r="D410">
        <v>2.94</v>
      </c>
      <c r="E410">
        <v>31</v>
      </c>
      <c r="F410">
        <v>12.64</v>
      </c>
      <c r="G410">
        <v>84</v>
      </c>
      <c r="H410" s="1">
        <v>45006.166666666664</v>
      </c>
      <c r="I410" s="1">
        <v>45006.188194444447</v>
      </c>
      <c r="J410" s="1">
        <v>45006.176388888889</v>
      </c>
      <c r="K410" s="1">
        <v>45006.197916666664</v>
      </c>
      <c r="L410" t="s">
        <v>19</v>
      </c>
      <c r="M410" t="s">
        <v>20</v>
      </c>
    </row>
    <row r="411" spans="1:13" x14ac:dyDescent="0.3">
      <c r="A411" t="s">
        <v>439</v>
      </c>
      <c r="B411" t="s">
        <v>34</v>
      </c>
      <c r="C411" t="s">
        <v>32</v>
      </c>
      <c r="D411">
        <v>3.4</v>
      </c>
      <c r="E411">
        <v>93</v>
      </c>
      <c r="F411">
        <v>2.77</v>
      </c>
      <c r="G411">
        <v>91</v>
      </c>
      <c r="H411" s="1">
        <v>45006.173611111109</v>
      </c>
      <c r="I411" s="1">
        <v>45006.238194444442</v>
      </c>
      <c r="J411" s="1">
        <v>45006.176388888889</v>
      </c>
      <c r="K411" s="1">
        <v>45006.240972222222</v>
      </c>
      <c r="L411" t="s">
        <v>16</v>
      </c>
      <c r="M411" t="s">
        <v>28</v>
      </c>
    </row>
    <row r="412" spans="1:13" x14ac:dyDescent="0.3">
      <c r="A412" t="s">
        <v>440</v>
      </c>
      <c r="B412" t="s">
        <v>40</v>
      </c>
      <c r="C412" t="s">
        <v>15</v>
      </c>
      <c r="D412">
        <v>2.37</v>
      </c>
      <c r="E412">
        <v>96</v>
      </c>
      <c r="F412">
        <v>12.16</v>
      </c>
      <c r="G412">
        <v>91</v>
      </c>
      <c r="H412" s="1">
        <v>45006.180555555555</v>
      </c>
      <c r="I412" s="1">
        <v>45006.24722222222</v>
      </c>
      <c r="J412" s="1">
        <v>45006.197222222225</v>
      </c>
      <c r="K412" s="1">
        <v>45006.263888888891</v>
      </c>
      <c r="L412" t="s">
        <v>19</v>
      </c>
      <c r="M412" t="s">
        <v>20</v>
      </c>
    </row>
    <row r="413" spans="1:13" x14ac:dyDescent="0.3">
      <c r="A413" t="s">
        <v>441</v>
      </c>
      <c r="B413" t="s">
        <v>14</v>
      </c>
      <c r="C413" t="s">
        <v>27</v>
      </c>
      <c r="D413">
        <v>4.53</v>
      </c>
      <c r="E413">
        <v>46</v>
      </c>
      <c r="F413">
        <v>2.94</v>
      </c>
      <c r="G413">
        <v>83</v>
      </c>
      <c r="H413" s="1">
        <v>45006.1875</v>
      </c>
      <c r="I413" s="1">
        <v>45006.219444444447</v>
      </c>
      <c r="J413" s="1">
        <v>45006.199305555558</v>
      </c>
      <c r="K413" s="1">
        <v>45006.231249999997</v>
      </c>
      <c r="L413" t="s">
        <v>19</v>
      </c>
      <c r="M413" t="s">
        <v>20</v>
      </c>
    </row>
    <row r="414" spans="1:13" x14ac:dyDescent="0.3">
      <c r="A414" t="s">
        <v>442</v>
      </c>
      <c r="B414" t="s">
        <v>22</v>
      </c>
      <c r="C414" t="s">
        <v>15</v>
      </c>
      <c r="D414">
        <v>1.53</v>
      </c>
      <c r="E414">
        <v>22</v>
      </c>
      <c r="F414">
        <v>4.2300000000000004</v>
      </c>
      <c r="G414">
        <v>98</v>
      </c>
      <c r="H414" s="1">
        <v>45006.194444444445</v>
      </c>
      <c r="I414" s="1">
        <v>45006.209722222222</v>
      </c>
      <c r="J414" s="1">
        <v>45006.193749999999</v>
      </c>
      <c r="K414" s="1">
        <v>45006.209027777775</v>
      </c>
      <c r="L414" t="s">
        <v>16</v>
      </c>
      <c r="M414" t="s">
        <v>20</v>
      </c>
    </row>
    <row r="415" spans="1:13" x14ac:dyDescent="0.3">
      <c r="A415" t="s">
        <v>443</v>
      </c>
      <c r="B415" t="s">
        <v>40</v>
      </c>
      <c r="C415" t="s">
        <v>15</v>
      </c>
      <c r="D415">
        <v>3.26</v>
      </c>
      <c r="E415">
        <v>31</v>
      </c>
      <c r="F415">
        <v>2.08</v>
      </c>
      <c r="G415">
        <v>90</v>
      </c>
      <c r="H415" s="1">
        <v>45006.201388888891</v>
      </c>
      <c r="I415" s="1">
        <v>45006.222916666666</v>
      </c>
      <c r="J415" s="1">
        <v>45006.210416666669</v>
      </c>
      <c r="K415" s="1">
        <v>45006.231944444444</v>
      </c>
      <c r="L415" t="s">
        <v>19</v>
      </c>
      <c r="M415" t="s">
        <v>20</v>
      </c>
    </row>
    <row r="416" spans="1:13" x14ac:dyDescent="0.3">
      <c r="A416" t="s">
        <v>444</v>
      </c>
      <c r="B416" t="s">
        <v>30</v>
      </c>
      <c r="C416" t="s">
        <v>27</v>
      </c>
      <c r="D416">
        <v>1.1499999999999999</v>
      </c>
      <c r="E416">
        <v>33</v>
      </c>
      <c r="F416">
        <v>7.35</v>
      </c>
      <c r="G416">
        <v>92</v>
      </c>
      <c r="H416" s="1">
        <v>45006.208333333336</v>
      </c>
      <c r="I416" s="1">
        <v>45006.231249999997</v>
      </c>
      <c r="J416" s="1">
        <v>45006.225694444445</v>
      </c>
      <c r="K416" s="1">
        <v>45006.248611111114</v>
      </c>
      <c r="L416" t="s">
        <v>19</v>
      </c>
      <c r="M416" t="s">
        <v>20</v>
      </c>
    </row>
    <row r="417" spans="1:13" x14ac:dyDescent="0.3">
      <c r="A417" t="s">
        <v>445</v>
      </c>
      <c r="B417" t="s">
        <v>14</v>
      </c>
      <c r="C417" t="s">
        <v>23</v>
      </c>
      <c r="D417">
        <v>3.38</v>
      </c>
      <c r="E417">
        <v>107</v>
      </c>
      <c r="F417">
        <v>11.97</v>
      </c>
      <c r="G417">
        <v>97</v>
      </c>
      <c r="H417" s="1">
        <v>45006.215277777781</v>
      </c>
      <c r="I417" s="1">
        <v>45006.289583333331</v>
      </c>
      <c r="J417" s="1">
        <v>45006.211805555555</v>
      </c>
      <c r="K417" s="1">
        <v>45006.286111111112</v>
      </c>
      <c r="L417" t="s">
        <v>16</v>
      </c>
      <c r="M417" t="s">
        <v>20</v>
      </c>
    </row>
    <row r="418" spans="1:13" x14ac:dyDescent="0.3">
      <c r="A418" t="s">
        <v>446</v>
      </c>
      <c r="B418" t="s">
        <v>14</v>
      </c>
      <c r="C418" t="s">
        <v>36</v>
      </c>
      <c r="D418">
        <v>4.9800000000000004</v>
      </c>
      <c r="E418">
        <v>50</v>
      </c>
      <c r="F418">
        <v>6.94</v>
      </c>
      <c r="G418">
        <v>91</v>
      </c>
      <c r="H418" s="1">
        <v>45006.222222222219</v>
      </c>
      <c r="I418" s="1">
        <v>45006.256944444445</v>
      </c>
      <c r="L418" t="s">
        <v>24</v>
      </c>
      <c r="M418" t="s">
        <v>20</v>
      </c>
    </row>
    <row r="419" spans="1:13" x14ac:dyDescent="0.3">
      <c r="A419" t="s">
        <v>447</v>
      </c>
      <c r="B419" t="s">
        <v>22</v>
      </c>
      <c r="C419" t="s">
        <v>15</v>
      </c>
      <c r="D419">
        <v>1.35</v>
      </c>
      <c r="E419">
        <v>40</v>
      </c>
      <c r="F419">
        <v>8.17</v>
      </c>
      <c r="G419">
        <v>86</v>
      </c>
      <c r="H419" s="1">
        <v>45006.229166666664</v>
      </c>
      <c r="I419" s="1">
        <v>45006.256944444445</v>
      </c>
      <c r="J419" s="1">
        <v>45006.230555555558</v>
      </c>
      <c r="K419" s="1">
        <v>45006.258333333331</v>
      </c>
      <c r="L419" t="s">
        <v>16</v>
      </c>
      <c r="M419" t="s">
        <v>28</v>
      </c>
    </row>
    <row r="420" spans="1:13" x14ac:dyDescent="0.3">
      <c r="A420" t="s">
        <v>448</v>
      </c>
      <c r="B420" t="s">
        <v>34</v>
      </c>
      <c r="C420" t="s">
        <v>27</v>
      </c>
      <c r="D420">
        <v>1.3</v>
      </c>
      <c r="E420">
        <v>43</v>
      </c>
      <c r="F420">
        <v>13.53</v>
      </c>
      <c r="G420">
        <v>80</v>
      </c>
      <c r="H420" s="1">
        <v>45006.236111111109</v>
      </c>
      <c r="I420" s="1">
        <v>45006.265972222223</v>
      </c>
      <c r="J420" s="1">
        <v>45006.238194444442</v>
      </c>
      <c r="K420" s="1">
        <v>45006.268055555556</v>
      </c>
      <c r="L420" t="s">
        <v>16</v>
      </c>
      <c r="M420" t="s">
        <v>17</v>
      </c>
    </row>
    <row r="421" spans="1:13" x14ac:dyDescent="0.3">
      <c r="A421" t="s">
        <v>449</v>
      </c>
      <c r="B421" t="s">
        <v>30</v>
      </c>
      <c r="C421" t="s">
        <v>23</v>
      </c>
      <c r="D421">
        <v>3.69</v>
      </c>
      <c r="E421">
        <v>115</v>
      </c>
      <c r="F421">
        <v>12.24</v>
      </c>
      <c r="G421">
        <v>85</v>
      </c>
      <c r="H421" s="1">
        <v>45006.243055555555</v>
      </c>
      <c r="I421" s="1">
        <v>45006.322916666664</v>
      </c>
      <c r="J421" s="1">
        <v>45006.240972222222</v>
      </c>
      <c r="K421" s="1">
        <v>45006.320833333331</v>
      </c>
      <c r="L421" t="s">
        <v>16</v>
      </c>
      <c r="M421" t="s">
        <v>20</v>
      </c>
    </row>
    <row r="422" spans="1:13" x14ac:dyDescent="0.3">
      <c r="A422" t="s">
        <v>450</v>
      </c>
      <c r="B422" t="s">
        <v>30</v>
      </c>
      <c r="C422" t="s">
        <v>32</v>
      </c>
      <c r="D422">
        <v>4.3</v>
      </c>
      <c r="E422">
        <v>96</v>
      </c>
      <c r="F422">
        <v>9.69</v>
      </c>
      <c r="G422">
        <v>82</v>
      </c>
      <c r="H422" s="1">
        <v>45006.25</v>
      </c>
      <c r="I422" s="1">
        <v>45006.316666666666</v>
      </c>
      <c r="J422" s="1">
        <v>45006.24722222222</v>
      </c>
      <c r="K422" s="1">
        <v>45006.313888888886</v>
      </c>
      <c r="L422" t="s">
        <v>16</v>
      </c>
      <c r="M422" t="s">
        <v>20</v>
      </c>
    </row>
    <row r="423" spans="1:13" x14ac:dyDescent="0.3">
      <c r="A423" t="s">
        <v>451</v>
      </c>
      <c r="B423" t="s">
        <v>14</v>
      </c>
      <c r="C423" t="s">
        <v>23</v>
      </c>
      <c r="D423">
        <v>1.49</v>
      </c>
      <c r="E423">
        <v>119</v>
      </c>
      <c r="F423">
        <v>6.31</v>
      </c>
      <c r="G423">
        <v>87</v>
      </c>
      <c r="H423" s="1">
        <v>45006.256944444445</v>
      </c>
      <c r="I423" s="1">
        <v>45006.339583333334</v>
      </c>
      <c r="J423" s="1">
        <v>45006.255555555559</v>
      </c>
      <c r="K423" s="1">
        <v>45006.338194444441</v>
      </c>
      <c r="L423" t="s">
        <v>16</v>
      </c>
      <c r="M423" t="s">
        <v>20</v>
      </c>
    </row>
    <row r="424" spans="1:13" x14ac:dyDescent="0.3">
      <c r="A424" t="s">
        <v>452</v>
      </c>
      <c r="B424" t="s">
        <v>34</v>
      </c>
      <c r="C424" t="s">
        <v>15</v>
      </c>
      <c r="D424">
        <v>3.04</v>
      </c>
      <c r="E424">
        <v>105</v>
      </c>
      <c r="F424">
        <v>12.92</v>
      </c>
      <c r="G424">
        <v>89</v>
      </c>
      <c r="H424" s="1">
        <v>45006.263888888891</v>
      </c>
      <c r="I424" s="1">
        <v>45006.336805555555</v>
      </c>
      <c r="J424" s="1">
        <v>45006.274305555555</v>
      </c>
      <c r="K424" s="1">
        <v>45006.347222222219</v>
      </c>
      <c r="L424" t="s">
        <v>19</v>
      </c>
      <c r="M424" t="s">
        <v>20</v>
      </c>
    </row>
    <row r="425" spans="1:13" x14ac:dyDescent="0.3">
      <c r="A425" t="s">
        <v>453</v>
      </c>
      <c r="B425" t="s">
        <v>14</v>
      </c>
      <c r="C425" t="s">
        <v>32</v>
      </c>
      <c r="D425">
        <v>1.35</v>
      </c>
      <c r="E425">
        <v>64</v>
      </c>
      <c r="F425">
        <v>8.93</v>
      </c>
      <c r="G425">
        <v>86</v>
      </c>
      <c r="H425" s="1">
        <v>45006.270833333336</v>
      </c>
      <c r="I425" s="1">
        <v>45006.31527777778</v>
      </c>
      <c r="L425" t="s">
        <v>24</v>
      </c>
      <c r="M425" t="s">
        <v>20</v>
      </c>
    </row>
    <row r="426" spans="1:13" x14ac:dyDescent="0.3">
      <c r="A426" t="s">
        <v>454</v>
      </c>
      <c r="B426" t="s">
        <v>30</v>
      </c>
      <c r="C426" t="s">
        <v>36</v>
      </c>
      <c r="D426">
        <v>4.96</v>
      </c>
      <c r="E426">
        <v>110</v>
      </c>
      <c r="F426">
        <v>10.48</v>
      </c>
      <c r="G426">
        <v>91</v>
      </c>
      <c r="H426" s="1">
        <v>45006.277777777781</v>
      </c>
      <c r="I426" s="1">
        <v>45006.354166666664</v>
      </c>
      <c r="J426" s="1">
        <v>45006.290277777778</v>
      </c>
      <c r="K426" s="1">
        <v>45006.366666666669</v>
      </c>
      <c r="L426" t="s">
        <v>19</v>
      </c>
      <c r="M426" t="s">
        <v>20</v>
      </c>
    </row>
    <row r="427" spans="1:13" x14ac:dyDescent="0.3">
      <c r="A427" t="s">
        <v>455</v>
      </c>
      <c r="B427" t="s">
        <v>34</v>
      </c>
      <c r="C427" t="s">
        <v>32</v>
      </c>
      <c r="D427">
        <v>4.0199999999999996</v>
      </c>
      <c r="E427">
        <v>74</v>
      </c>
      <c r="F427">
        <v>7.11</v>
      </c>
      <c r="G427">
        <v>92</v>
      </c>
      <c r="H427" s="1">
        <v>45006.284722222219</v>
      </c>
      <c r="I427" s="1">
        <v>45006.336111111108</v>
      </c>
      <c r="J427" s="1">
        <v>45006.303472222222</v>
      </c>
      <c r="K427" s="1">
        <v>45006.354861111111</v>
      </c>
      <c r="L427" t="s">
        <v>19</v>
      </c>
      <c r="M427" t="s">
        <v>20</v>
      </c>
    </row>
    <row r="428" spans="1:13" x14ac:dyDescent="0.3">
      <c r="A428" t="s">
        <v>456</v>
      </c>
      <c r="B428" t="s">
        <v>34</v>
      </c>
      <c r="C428" t="s">
        <v>32</v>
      </c>
      <c r="D428">
        <v>3.79</v>
      </c>
      <c r="E428">
        <v>64</v>
      </c>
      <c r="F428">
        <v>10.25</v>
      </c>
      <c r="G428">
        <v>98</v>
      </c>
      <c r="H428" s="1">
        <v>45006.291666666664</v>
      </c>
      <c r="I428" s="1">
        <v>45006.336111111108</v>
      </c>
      <c r="J428" s="1">
        <v>45006.288888888892</v>
      </c>
      <c r="K428" s="1">
        <v>45006.333333333336</v>
      </c>
      <c r="L428" t="s">
        <v>16</v>
      </c>
      <c r="M428" t="s">
        <v>20</v>
      </c>
    </row>
    <row r="429" spans="1:13" x14ac:dyDescent="0.3">
      <c r="A429" t="s">
        <v>457</v>
      </c>
      <c r="B429" t="s">
        <v>34</v>
      </c>
      <c r="C429" t="s">
        <v>32</v>
      </c>
      <c r="D429">
        <v>3.22</v>
      </c>
      <c r="E429">
        <v>37</v>
      </c>
      <c r="F429">
        <v>11.13</v>
      </c>
      <c r="G429">
        <v>88</v>
      </c>
      <c r="H429" s="1">
        <v>45006.298611111109</v>
      </c>
      <c r="I429" s="1">
        <v>45006.324305555558</v>
      </c>
      <c r="J429" s="1">
        <v>45006.29791666667</v>
      </c>
      <c r="K429" s="1">
        <v>45006.323611111111</v>
      </c>
      <c r="L429" t="s">
        <v>16</v>
      </c>
      <c r="M429" t="s">
        <v>20</v>
      </c>
    </row>
    <row r="430" spans="1:13" x14ac:dyDescent="0.3">
      <c r="A430" t="s">
        <v>458</v>
      </c>
      <c r="B430" t="s">
        <v>14</v>
      </c>
      <c r="C430" t="s">
        <v>36</v>
      </c>
      <c r="D430">
        <v>4.3600000000000003</v>
      </c>
      <c r="E430">
        <v>60</v>
      </c>
      <c r="F430">
        <v>13.16</v>
      </c>
      <c r="G430">
        <v>89</v>
      </c>
      <c r="H430" s="1">
        <v>45006.305555555555</v>
      </c>
      <c r="I430" s="1">
        <v>45006.347222222219</v>
      </c>
      <c r="J430" s="1">
        <v>45006.304861111108</v>
      </c>
      <c r="K430" s="1">
        <v>45006.34652777778</v>
      </c>
      <c r="L430" t="s">
        <v>16</v>
      </c>
      <c r="M430" t="s">
        <v>20</v>
      </c>
    </row>
    <row r="431" spans="1:13" x14ac:dyDescent="0.3">
      <c r="A431" t="s">
        <v>459</v>
      </c>
      <c r="B431" t="s">
        <v>34</v>
      </c>
      <c r="C431" t="s">
        <v>27</v>
      </c>
      <c r="D431">
        <v>3.39</v>
      </c>
      <c r="E431">
        <v>44</v>
      </c>
      <c r="F431">
        <v>12.69</v>
      </c>
      <c r="G431">
        <v>85</v>
      </c>
      <c r="H431" s="1">
        <v>45006.3125</v>
      </c>
      <c r="I431" s="1">
        <v>45006.343055555553</v>
      </c>
      <c r="J431" s="1">
        <v>45006.313194444447</v>
      </c>
      <c r="K431" s="1">
        <v>45006.34375</v>
      </c>
      <c r="L431" t="s">
        <v>16</v>
      </c>
      <c r="M431" t="s">
        <v>17</v>
      </c>
    </row>
    <row r="432" spans="1:13" x14ac:dyDescent="0.3">
      <c r="A432" t="s">
        <v>460</v>
      </c>
      <c r="B432" t="s">
        <v>14</v>
      </c>
      <c r="C432" t="s">
        <v>15</v>
      </c>
      <c r="D432">
        <v>2.09</v>
      </c>
      <c r="E432">
        <v>48</v>
      </c>
      <c r="F432">
        <v>2.15</v>
      </c>
      <c r="G432">
        <v>82</v>
      </c>
      <c r="H432" s="1">
        <v>45006.319444444445</v>
      </c>
      <c r="I432" s="1">
        <v>45006.352777777778</v>
      </c>
      <c r="J432" s="1">
        <v>45006.318749999999</v>
      </c>
      <c r="K432" s="1">
        <v>45006.352083333331</v>
      </c>
      <c r="L432" t="s">
        <v>16</v>
      </c>
      <c r="M432" t="s">
        <v>20</v>
      </c>
    </row>
    <row r="433" spans="1:13" x14ac:dyDescent="0.3">
      <c r="A433" t="s">
        <v>461</v>
      </c>
      <c r="B433" t="s">
        <v>40</v>
      </c>
      <c r="C433" t="s">
        <v>27</v>
      </c>
      <c r="D433">
        <v>3.14</v>
      </c>
      <c r="E433">
        <v>105</v>
      </c>
      <c r="F433">
        <v>12.39</v>
      </c>
      <c r="G433">
        <v>96</v>
      </c>
      <c r="H433" s="1">
        <v>45006.326388888891</v>
      </c>
      <c r="I433" s="1">
        <v>45006.399305555555</v>
      </c>
      <c r="J433" s="1">
        <v>45006.335416666669</v>
      </c>
      <c r="K433" s="1">
        <v>45006.408333333333</v>
      </c>
      <c r="L433" t="s">
        <v>19</v>
      </c>
      <c r="M433" t="s">
        <v>20</v>
      </c>
    </row>
    <row r="434" spans="1:13" x14ac:dyDescent="0.3">
      <c r="A434" t="s">
        <v>462</v>
      </c>
      <c r="B434" t="s">
        <v>22</v>
      </c>
      <c r="C434" t="s">
        <v>32</v>
      </c>
      <c r="D434">
        <v>1.52</v>
      </c>
      <c r="E434">
        <v>46</v>
      </c>
      <c r="F434">
        <v>9.5399999999999991</v>
      </c>
      <c r="G434">
        <v>89</v>
      </c>
      <c r="H434" s="1">
        <v>45006.333333333336</v>
      </c>
      <c r="I434" s="1">
        <v>45006.365277777775</v>
      </c>
      <c r="J434" s="1">
        <v>45006.330555555556</v>
      </c>
      <c r="K434" s="1">
        <v>45006.362500000003</v>
      </c>
      <c r="L434" t="s">
        <v>16</v>
      </c>
      <c r="M434" t="s">
        <v>20</v>
      </c>
    </row>
    <row r="435" spans="1:13" x14ac:dyDescent="0.3">
      <c r="A435" t="s">
        <v>463</v>
      </c>
      <c r="B435" t="s">
        <v>34</v>
      </c>
      <c r="C435" t="s">
        <v>15</v>
      </c>
      <c r="D435">
        <v>3.21</v>
      </c>
      <c r="E435">
        <v>87</v>
      </c>
      <c r="F435">
        <v>14.22</v>
      </c>
      <c r="G435">
        <v>80</v>
      </c>
      <c r="H435" s="1">
        <v>45006.340277777781</v>
      </c>
      <c r="I435" s="1">
        <v>45006.400694444441</v>
      </c>
      <c r="J435" s="1">
        <v>45006.342361111114</v>
      </c>
      <c r="K435" s="1">
        <v>45006.402777777781</v>
      </c>
      <c r="L435" t="s">
        <v>16</v>
      </c>
      <c r="M435" t="s">
        <v>17</v>
      </c>
    </row>
    <row r="436" spans="1:13" x14ac:dyDescent="0.3">
      <c r="A436" t="s">
        <v>464</v>
      </c>
      <c r="B436" t="s">
        <v>30</v>
      </c>
      <c r="C436" t="s">
        <v>15</v>
      </c>
      <c r="D436">
        <v>4.42</v>
      </c>
      <c r="E436">
        <v>51</v>
      </c>
      <c r="F436">
        <v>4.84</v>
      </c>
      <c r="G436">
        <v>80</v>
      </c>
      <c r="H436" s="1">
        <v>45006.347222222219</v>
      </c>
      <c r="I436" s="1">
        <v>45006.382638888892</v>
      </c>
      <c r="J436" s="1">
        <v>45006.350694444445</v>
      </c>
      <c r="K436" s="1">
        <v>45006.386111111111</v>
      </c>
      <c r="L436" t="s">
        <v>16</v>
      </c>
      <c r="M436" t="s">
        <v>28</v>
      </c>
    </row>
    <row r="437" spans="1:13" x14ac:dyDescent="0.3">
      <c r="A437" t="s">
        <v>465</v>
      </c>
      <c r="B437" t="s">
        <v>22</v>
      </c>
      <c r="C437" t="s">
        <v>36</v>
      </c>
      <c r="D437">
        <v>3.55</v>
      </c>
      <c r="E437">
        <v>59</v>
      </c>
      <c r="F437">
        <v>3.27</v>
      </c>
      <c r="G437">
        <v>98</v>
      </c>
      <c r="H437" s="1">
        <v>45006.354166666664</v>
      </c>
      <c r="I437" s="1">
        <v>45006.395138888889</v>
      </c>
      <c r="J437" s="1">
        <v>45006.367361111108</v>
      </c>
      <c r="K437" s="1">
        <v>45006.408333333333</v>
      </c>
      <c r="L437" t="s">
        <v>19</v>
      </c>
      <c r="M437" t="s">
        <v>20</v>
      </c>
    </row>
    <row r="438" spans="1:13" x14ac:dyDescent="0.3">
      <c r="A438" t="s">
        <v>466</v>
      </c>
      <c r="B438" t="s">
        <v>34</v>
      </c>
      <c r="C438" t="s">
        <v>23</v>
      </c>
      <c r="D438">
        <v>4.5999999999999996</v>
      </c>
      <c r="E438">
        <v>57</v>
      </c>
      <c r="F438">
        <v>11.57</v>
      </c>
      <c r="G438">
        <v>88</v>
      </c>
      <c r="H438" s="1">
        <v>45006.361111111109</v>
      </c>
      <c r="I438" s="1">
        <v>45006.400694444441</v>
      </c>
      <c r="J438" s="1">
        <v>45006.36041666667</v>
      </c>
      <c r="K438" s="1">
        <v>45006.400000000001</v>
      </c>
      <c r="L438" t="s">
        <v>16</v>
      </c>
      <c r="M438" t="s">
        <v>20</v>
      </c>
    </row>
    <row r="439" spans="1:13" x14ac:dyDescent="0.3">
      <c r="A439" t="s">
        <v>467</v>
      </c>
      <c r="B439" t="s">
        <v>22</v>
      </c>
      <c r="C439" t="s">
        <v>36</v>
      </c>
      <c r="D439">
        <v>4.5999999999999996</v>
      </c>
      <c r="E439">
        <v>109</v>
      </c>
      <c r="F439">
        <v>14.03</v>
      </c>
      <c r="G439">
        <v>83</v>
      </c>
      <c r="H439" s="1">
        <v>45006.368055555555</v>
      </c>
      <c r="I439" s="1">
        <v>45006.443749999999</v>
      </c>
      <c r="J439" s="1">
        <v>45006.386111111111</v>
      </c>
      <c r="K439" s="1">
        <v>45006.461805555555</v>
      </c>
      <c r="L439" t="s">
        <v>19</v>
      </c>
      <c r="M439" t="s">
        <v>20</v>
      </c>
    </row>
    <row r="440" spans="1:13" x14ac:dyDescent="0.3">
      <c r="A440" t="s">
        <v>468</v>
      </c>
      <c r="B440" t="s">
        <v>30</v>
      </c>
      <c r="C440" t="s">
        <v>36</v>
      </c>
      <c r="D440">
        <v>3.4</v>
      </c>
      <c r="E440">
        <v>115</v>
      </c>
      <c r="F440">
        <v>7.11</v>
      </c>
      <c r="G440">
        <v>97</v>
      </c>
      <c r="H440" s="1">
        <v>45006.375</v>
      </c>
      <c r="I440" s="1">
        <v>45006.454861111109</v>
      </c>
      <c r="J440" s="1">
        <v>45006.395833333336</v>
      </c>
      <c r="K440" s="1">
        <v>45006.475694444445</v>
      </c>
      <c r="L440" t="s">
        <v>19</v>
      </c>
      <c r="M440" t="s">
        <v>20</v>
      </c>
    </row>
    <row r="441" spans="1:13" x14ac:dyDescent="0.3">
      <c r="A441" t="s">
        <v>469</v>
      </c>
      <c r="B441" t="s">
        <v>22</v>
      </c>
      <c r="C441" t="s">
        <v>27</v>
      </c>
      <c r="D441">
        <v>3.57</v>
      </c>
      <c r="E441">
        <v>98</v>
      </c>
      <c r="F441">
        <v>2.65</v>
      </c>
      <c r="G441">
        <v>80</v>
      </c>
      <c r="H441" s="1">
        <v>45006.381944444445</v>
      </c>
      <c r="I441" s="1">
        <v>45006.45</v>
      </c>
      <c r="J441" s="1">
        <v>45006.384722222225</v>
      </c>
      <c r="K441" s="1">
        <v>45006.452777777777</v>
      </c>
      <c r="L441" t="s">
        <v>16</v>
      </c>
      <c r="M441" t="s">
        <v>28</v>
      </c>
    </row>
    <row r="442" spans="1:13" x14ac:dyDescent="0.3">
      <c r="A442" t="s">
        <v>470</v>
      </c>
      <c r="B442" t="s">
        <v>22</v>
      </c>
      <c r="C442" t="s">
        <v>36</v>
      </c>
      <c r="D442">
        <v>2.83</v>
      </c>
      <c r="E442">
        <v>62</v>
      </c>
      <c r="F442">
        <v>4.8</v>
      </c>
      <c r="G442">
        <v>86</v>
      </c>
      <c r="H442" s="1">
        <v>45006.388888888891</v>
      </c>
      <c r="I442" s="1">
        <v>45006.431944444441</v>
      </c>
      <c r="L442" t="s">
        <v>24</v>
      </c>
      <c r="M442" t="s">
        <v>20</v>
      </c>
    </row>
    <row r="443" spans="1:13" x14ac:dyDescent="0.3">
      <c r="A443" t="s">
        <v>471</v>
      </c>
      <c r="B443" t="s">
        <v>34</v>
      </c>
      <c r="C443" t="s">
        <v>36</v>
      </c>
      <c r="D443">
        <v>2.77</v>
      </c>
      <c r="E443">
        <v>97</v>
      </c>
      <c r="F443">
        <v>3.62</v>
      </c>
      <c r="G443">
        <v>87</v>
      </c>
      <c r="H443" s="1">
        <v>45006.395833333336</v>
      </c>
      <c r="I443" s="1">
        <v>45006.463194444441</v>
      </c>
      <c r="J443" s="1">
        <v>45006.393750000003</v>
      </c>
      <c r="K443" s="1">
        <v>45006.461111111108</v>
      </c>
      <c r="L443" t="s">
        <v>16</v>
      </c>
      <c r="M443" t="s">
        <v>20</v>
      </c>
    </row>
    <row r="444" spans="1:13" x14ac:dyDescent="0.3">
      <c r="A444" t="s">
        <v>472</v>
      </c>
      <c r="B444" t="s">
        <v>40</v>
      </c>
      <c r="C444" t="s">
        <v>27</v>
      </c>
      <c r="D444">
        <v>2.1</v>
      </c>
      <c r="E444">
        <v>109</v>
      </c>
      <c r="F444">
        <v>12.1</v>
      </c>
      <c r="G444">
        <v>97</v>
      </c>
      <c r="H444" s="1">
        <v>45006.402777777781</v>
      </c>
      <c r="I444" s="1">
        <v>45006.478472222225</v>
      </c>
      <c r="J444" s="1">
        <v>45006.40347222222</v>
      </c>
      <c r="K444" s="1">
        <v>45006.479166666664</v>
      </c>
      <c r="L444" t="s">
        <v>16</v>
      </c>
      <c r="M444" t="s">
        <v>17</v>
      </c>
    </row>
    <row r="445" spans="1:13" x14ac:dyDescent="0.3">
      <c r="A445" t="s">
        <v>473</v>
      </c>
      <c r="B445" t="s">
        <v>40</v>
      </c>
      <c r="C445" t="s">
        <v>15</v>
      </c>
      <c r="D445">
        <v>4.32</v>
      </c>
      <c r="E445">
        <v>56</v>
      </c>
      <c r="F445">
        <v>14.6</v>
      </c>
      <c r="G445">
        <v>83</v>
      </c>
      <c r="H445" s="1">
        <v>45006.409722222219</v>
      </c>
      <c r="I445" s="1">
        <v>45006.448611111111</v>
      </c>
      <c r="J445" s="1">
        <v>45006.412499999999</v>
      </c>
      <c r="K445" s="1">
        <v>45006.451388888891</v>
      </c>
      <c r="L445" t="s">
        <v>16</v>
      </c>
      <c r="M445" t="s">
        <v>17</v>
      </c>
    </row>
    <row r="446" spans="1:13" x14ac:dyDescent="0.3">
      <c r="A446" t="s">
        <v>474</v>
      </c>
      <c r="B446" t="s">
        <v>22</v>
      </c>
      <c r="C446" t="s">
        <v>27</v>
      </c>
      <c r="D446">
        <v>3.54</v>
      </c>
      <c r="E446">
        <v>56</v>
      </c>
      <c r="F446">
        <v>5.0599999999999996</v>
      </c>
      <c r="G446">
        <v>98</v>
      </c>
      <c r="H446" s="1">
        <v>45006.416666666664</v>
      </c>
      <c r="I446" s="1">
        <v>45006.455555555556</v>
      </c>
      <c r="J446" s="1">
        <v>45006.413888888892</v>
      </c>
      <c r="K446" s="1">
        <v>45006.452777777777</v>
      </c>
      <c r="L446" t="s">
        <v>16</v>
      </c>
      <c r="M446" t="s">
        <v>20</v>
      </c>
    </row>
    <row r="447" spans="1:13" x14ac:dyDescent="0.3">
      <c r="A447" t="s">
        <v>475</v>
      </c>
      <c r="B447" t="s">
        <v>40</v>
      </c>
      <c r="C447" t="s">
        <v>27</v>
      </c>
      <c r="D447">
        <v>2.2000000000000002</v>
      </c>
      <c r="E447">
        <v>62</v>
      </c>
      <c r="F447">
        <v>10.68</v>
      </c>
      <c r="G447">
        <v>97</v>
      </c>
      <c r="H447" s="1">
        <v>45006.423611111109</v>
      </c>
      <c r="I447" s="1">
        <v>45006.466666666667</v>
      </c>
      <c r="L447" t="s">
        <v>24</v>
      </c>
      <c r="M447" t="s">
        <v>20</v>
      </c>
    </row>
    <row r="448" spans="1:13" x14ac:dyDescent="0.3">
      <c r="A448" t="s">
        <v>476</v>
      </c>
      <c r="B448" t="s">
        <v>14</v>
      </c>
      <c r="C448" t="s">
        <v>32</v>
      </c>
      <c r="D448">
        <v>3.02</v>
      </c>
      <c r="E448">
        <v>73</v>
      </c>
      <c r="F448">
        <v>3.13</v>
      </c>
      <c r="G448">
        <v>87</v>
      </c>
      <c r="H448" s="1">
        <v>45006.430555555555</v>
      </c>
      <c r="I448" s="1">
        <v>45006.481249999997</v>
      </c>
      <c r="J448" s="1">
        <v>45006.430555555555</v>
      </c>
      <c r="K448" s="1">
        <v>45006.481249999997</v>
      </c>
      <c r="L448" t="s">
        <v>16</v>
      </c>
      <c r="M448" t="s">
        <v>43</v>
      </c>
    </row>
    <row r="449" spans="1:13" x14ac:dyDescent="0.3">
      <c r="A449" t="s">
        <v>477</v>
      </c>
      <c r="B449" t="s">
        <v>34</v>
      </c>
      <c r="C449" t="s">
        <v>36</v>
      </c>
      <c r="D449">
        <v>4.17</v>
      </c>
      <c r="E449">
        <v>54</v>
      </c>
      <c r="F449">
        <v>12.99</v>
      </c>
      <c r="G449">
        <v>84</v>
      </c>
      <c r="H449" s="1">
        <v>45006.4375</v>
      </c>
      <c r="I449" s="1">
        <v>45006.474999999999</v>
      </c>
      <c r="J449" s="1">
        <v>45006.439583333333</v>
      </c>
      <c r="K449" s="1">
        <v>45006.477083333331</v>
      </c>
      <c r="L449" t="s">
        <v>16</v>
      </c>
      <c r="M449" t="s">
        <v>17</v>
      </c>
    </row>
    <row r="450" spans="1:13" x14ac:dyDescent="0.3">
      <c r="A450" t="s">
        <v>478</v>
      </c>
      <c r="B450" t="s">
        <v>14</v>
      </c>
      <c r="C450" t="s">
        <v>15</v>
      </c>
      <c r="D450">
        <v>4.6500000000000004</v>
      </c>
      <c r="E450">
        <v>118</v>
      </c>
      <c r="F450">
        <v>3.42</v>
      </c>
      <c r="G450">
        <v>89</v>
      </c>
      <c r="H450" s="1">
        <v>45006.444444444445</v>
      </c>
      <c r="I450" s="1">
        <v>45006.526388888888</v>
      </c>
      <c r="J450" s="1">
        <v>45006.444444444445</v>
      </c>
      <c r="K450" s="1">
        <v>45006.526388888888</v>
      </c>
      <c r="L450" t="s">
        <v>16</v>
      </c>
      <c r="M450" t="s">
        <v>28</v>
      </c>
    </row>
    <row r="451" spans="1:13" x14ac:dyDescent="0.3">
      <c r="A451" t="s">
        <v>479</v>
      </c>
      <c r="B451" t="s">
        <v>34</v>
      </c>
      <c r="C451" t="s">
        <v>32</v>
      </c>
      <c r="D451">
        <v>4.1100000000000003</v>
      </c>
      <c r="E451">
        <v>95</v>
      </c>
      <c r="F451">
        <v>4.55</v>
      </c>
      <c r="G451">
        <v>92</v>
      </c>
      <c r="H451" s="1">
        <v>45006.451388888891</v>
      </c>
      <c r="I451" s="1">
        <v>45006.517361111109</v>
      </c>
      <c r="J451" s="1">
        <v>45006.469444444447</v>
      </c>
      <c r="K451" s="1">
        <v>45006.535416666666</v>
      </c>
      <c r="L451" t="s">
        <v>19</v>
      </c>
      <c r="M451" t="s">
        <v>20</v>
      </c>
    </row>
    <row r="452" spans="1:13" x14ac:dyDescent="0.3">
      <c r="A452" t="s">
        <v>480</v>
      </c>
      <c r="B452" t="s">
        <v>14</v>
      </c>
      <c r="C452" t="s">
        <v>15</v>
      </c>
      <c r="D452">
        <v>4.92</v>
      </c>
      <c r="E452">
        <v>109</v>
      </c>
      <c r="F452">
        <v>9.01</v>
      </c>
      <c r="G452">
        <v>92</v>
      </c>
      <c r="H452" s="1">
        <v>45006.458333333336</v>
      </c>
      <c r="I452" s="1">
        <v>45006.53402777778</v>
      </c>
      <c r="J452" s="1">
        <v>45006.465277777781</v>
      </c>
      <c r="K452" s="1">
        <v>45006.540972222225</v>
      </c>
      <c r="L452" t="s">
        <v>19</v>
      </c>
      <c r="M452" t="s">
        <v>20</v>
      </c>
    </row>
    <row r="453" spans="1:13" x14ac:dyDescent="0.3">
      <c r="A453" t="s">
        <v>481</v>
      </c>
      <c r="B453" t="s">
        <v>30</v>
      </c>
      <c r="C453" t="s">
        <v>36</v>
      </c>
      <c r="D453">
        <v>1.82</v>
      </c>
      <c r="E453">
        <v>110</v>
      </c>
      <c r="F453">
        <v>7.81</v>
      </c>
      <c r="G453">
        <v>99</v>
      </c>
      <c r="H453" s="1">
        <v>45006.465277777781</v>
      </c>
      <c r="I453" s="1">
        <v>45006.541666666664</v>
      </c>
      <c r="J453" s="1">
        <v>45006.46875</v>
      </c>
      <c r="K453" s="1">
        <v>45006.545138888891</v>
      </c>
      <c r="L453" t="s">
        <v>16</v>
      </c>
      <c r="M453" t="s">
        <v>17</v>
      </c>
    </row>
    <row r="454" spans="1:13" x14ac:dyDescent="0.3">
      <c r="A454" t="s">
        <v>482</v>
      </c>
      <c r="B454" t="s">
        <v>40</v>
      </c>
      <c r="C454" t="s">
        <v>23</v>
      </c>
      <c r="D454">
        <v>3.78</v>
      </c>
      <c r="E454">
        <v>113</v>
      </c>
      <c r="F454">
        <v>5.09</v>
      </c>
      <c r="G454">
        <v>91</v>
      </c>
      <c r="H454" s="1">
        <v>45006.472222222219</v>
      </c>
      <c r="I454" s="1">
        <v>45006.550694444442</v>
      </c>
      <c r="J454" s="1">
        <v>45006.474999999999</v>
      </c>
      <c r="K454" s="1">
        <v>45006.553472222222</v>
      </c>
      <c r="L454" t="s">
        <v>16</v>
      </c>
      <c r="M454" t="s">
        <v>28</v>
      </c>
    </row>
    <row r="455" spans="1:13" x14ac:dyDescent="0.3">
      <c r="A455" t="s">
        <v>483</v>
      </c>
      <c r="B455" t="s">
        <v>40</v>
      </c>
      <c r="C455" t="s">
        <v>23</v>
      </c>
      <c r="D455">
        <v>4.4400000000000004</v>
      </c>
      <c r="E455">
        <v>55</v>
      </c>
      <c r="F455">
        <v>6.99</v>
      </c>
      <c r="G455">
        <v>91</v>
      </c>
      <c r="H455" s="1">
        <v>45006.479166666664</v>
      </c>
      <c r="I455" s="1">
        <v>45006.517361111109</v>
      </c>
      <c r="J455" s="1">
        <v>45006.494444444441</v>
      </c>
      <c r="K455" s="1">
        <v>45006.532638888886</v>
      </c>
      <c r="L455" t="s">
        <v>19</v>
      </c>
      <c r="M455" t="s">
        <v>20</v>
      </c>
    </row>
    <row r="456" spans="1:13" x14ac:dyDescent="0.3">
      <c r="A456" t="s">
        <v>484</v>
      </c>
      <c r="B456" t="s">
        <v>14</v>
      </c>
      <c r="C456" t="s">
        <v>15</v>
      </c>
      <c r="D456">
        <v>3.88</v>
      </c>
      <c r="E456">
        <v>107</v>
      </c>
      <c r="F456">
        <v>2.35</v>
      </c>
      <c r="G456">
        <v>92</v>
      </c>
      <c r="H456" s="1">
        <v>45006.486111111109</v>
      </c>
      <c r="I456" s="1">
        <v>45006.560416666667</v>
      </c>
      <c r="J456" s="1">
        <v>45006.487500000003</v>
      </c>
      <c r="K456" s="1">
        <v>45006.561805555553</v>
      </c>
      <c r="L456" t="s">
        <v>16</v>
      </c>
      <c r="M456" t="s">
        <v>28</v>
      </c>
    </row>
    <row r="457" spans="1:13" x14ac:dyDescent="0.3">
      <c r="A457" t="s">
        <v>485</v>
      </c>
      <c r="B457" t="s">
        <v>34</v>
      </c>
      <c r="C457" t="s">
        <v>36</v>
      </c>
      <c r="D457">
        <v>4.58</v>
      </c>
      <c r="E457">
        <v>75</v>
      </c>
      <c r="F457">
        <v>7.59</v>
      </c>
      <c r="G457">
        <v>83</v>
      </c>
      <c r="H457" s="1">
        <v>45006.493055555555</v>
      </c>
      <c r="I457" s="1">
        <v>45006.545138888891</v>
      </c>
      <c r="J457" s="1">
        <v>45006.510416666664</v>
      </c>
      <c r="K457" s="1">
        <v>45006.5625</v>
      </c>
      <c r="L457" t="s">
        <v>19</v>
      </c>
      <c r="M457" t="s">
        <v>20</v>
      </c>
    </row>
    <row r="458" spans="1:13" x14ac:dyDescent="0.3">
      <c r="A458" t="s">
        <v>486</v>
      </c>
      <c r="B458" t="s">
        <v>30</v>
      </c>
      <c r="C458" t="s">
        <v>23</v>
      </c>
      <c r="D458">
        <v>4.92</v>
      </c>
      <c r="E458">
        <v>101</v>
      </c>
      <c r="F458">
        <v>14.23</v>
      </c>
      <c r="G458">
        <v>93</v>
      </c>
      <c r="H458" s="1">
        <v>45006.5</v>
      </c>
      <c r="I458" s="1">
        <v>45006.570138888892</v>
      </c>
      <c r="J458" s="1">
        <v>45006.519444444442</v>
      </c>
      <c r="K458" s="1">
        <v>45006.589583333334</v>
      </c>
      <c r="L458" t="s">
        <v>19</v>
      </c>
      <c r="M458" t="s">
        <v>20</v>
      </c>
    </row>
    <row r="459" spans="1:13" x14ac:dyDescent="0.3">
      <c r="A459" t="s">
        <v>487</v>
      </c>
      <c r="B459" t="s">
        <v>40</v>
      </c>
      <c r="C459" t="s">
        <v>15</v>
      </c>
      <c r="D459">
        <v>4.18</v>
      </c>
      <c r="E459">
        <v>110</v>
      </c>
      <c r="F459">
        <v>12.73</v>
      </c>
      <c r="G459">
        <v>85</v>
      </c>
      <c r="H459" s="1">
        <v>45006.506944444445</v>
      </c>
      <c r="I459" s="1">
        <v>45006.583333333336</v>
      </c>
      <c r="J459" s="1">
        <v>45006.506249999999</v>
      </c>
      <c r="K459" s="1">
        <v>45006.582638888889</v>
      </c>
      <c r="L459" t="s">
        <v>16</v>
      </c>
      <c r="M459" t="s">
        <v>20</v>
      </c>
    </row>
    <row r="460" spans="1:13" x14ac:dyDescent="0.3">
      <c r="A460" t="s">
        <v>488</v>
      </c>
      <c r="B460" t="s">
        <v>30</v>
      </c>
      <c r="C460" t="s">
        <v>15</v>
      </c>
      <c r="D460">
        <v>4.68</v>
      </c>
      <c r="E460">
        <v>93</v>
      </c>
      <c r="F460">
        <v>10.61</v>
      </c>
      <c r="G460">
        <v>83</v>
      </c>
      <c r="H460" s="1">
        <v>45006.513888888891</v>
      </c>
      <c r="I460" s="1">
        <v>45006.578472222223</v>
      </c>
      <c r="J460" s="1">
        <v>45006.51458333333</v>
      </c>
      <c r="K460" s="1">
        <v>45006.57916666667</v>
      </c>
      <c r="L460" t="s">
        <v>16</v>
      </c>
      <c r="M460" t="s">
        <v>17</v>
      </c>
    </row>
    <row r="461" spans="1:13" x14ac:dyDescent="0.3">
      <c r="A461" t="s">
        <v>489</v>
      </c>
      <c r="B461" t="s">
        <v>22</v>
      </c>
      <c r="C461" t="s">
        <v>15</v>
      </c>
      <c r="D461">
        <v>4.8899999999999997</v>
      </c>
      <c r="E461">
        <v>105</v>
      </c>
      <c r="F461">
        <v>4.74</v>
      </c>
      <c r="G461">
        <v>87</v>
      </c>
      <c r="H461" s="1">
        <v>45006.520833333336</v>
      </c>
      <c r="I461" s="1">
        <v>45006.59375</v>
      </c>
      <c r="J461" s="1">
        <v>45006.519444444442</v>
      </c>
      <c r="K461" s="1">
        <v>45006.592361111114</v>
      </c>
      <c r="L461" t="s">
        <v>16</v>
      </c>
      <c r="M461" t="s">
        <v>20</v>
      </c>
    </row>
    <row r="462" spans="1:13" x14ac:dyDescent="0.3">
      <c r="A462" t="s">
        <v>490</v>
      </c>
      <c r="B462" t="s">
        <v>30</v>
      </c>
      <c r="C462" t="s">
        <v>36</v>
      </c>
      <c r="D462">
        <v>4.0599999999999996</v>
      </c>
      <c r="E462">
        <v>50</v>
      </c>
      <c r="F462">
        <v>9.9499999999999993</v>
      </c>
      <c r="G462">
        <v>97</v>
      </c>
      <c r="H462" s="1">
        <v>45006.527777777781</v>
      </c>
      <c r="I462" s="1">
        <v>45006.5625</v>
      </c>
      <c r="J462" s="1">
        <v>45006.52847222222</v>
      </c>
      <c r="K462" s="1">
        <v>45006.563194444447</v>
      </c>
      <c r="L462" t="s">
        <v>16</v>
      </c>
      <c r="M462" t="s">
        <v>17</v>
      </c>
    </row>
    <row r="463" spans="1:13" x14ac:dyDescent="0.3">
      <c r="A463" t="s">
        <v>491</v>
      </c>
      <c r="B463" t="s">
        <v>34</v>
      </c>
      <c r="C463" t="s">
        <v>15</v>
      </c>
      <c r="D463">
        <v>4.34</v>
      </c>
      <c r="E463">
        <v>46</v>
      </c>
      <c r="F463">
        <v>7.51</v>
      </c>
      <c r="G463">
        <v>80</v>
      </c>
      <c r="H463" s="1">
        <v>45006.534722222219</v>
      </c>
      <c r="I463" s="1">
        <v>45006.566666666666</v>
      </c>
      <c r="J463" s="1">
        <v>45006.543055555558</v>
      </c>
      <c r="K463" s="1">
        <v>45006.574999999997</v>
      </c>
      <c r="L463" t="s">
        <v>19</v>
      </c>
      <c r="M463" t="s">
        <v>20</v>
      </c>
    </row>
    <row r="464" spans="1:13" x14ac:dyDescent="0.3">
      <c r="A464" t="s">
        <v>492</v>
      </c>
      <c r="B464" t="s">
        <v>30</v>
      </c>
      <c r="C464" t="s">
        <v>15</v>
      </c>
      <c r="D464">
        <v>2.31</v>
      </c>
      <c r="E464">
        <v>28</v>
      </c>
      <c r="F464">
        <v>13.03</v>
      </c>
      <c r="G464">
        <v>80</v>
      </c>
      <c r="H464" s="1">
        <v>45006.541666666664</v>
      </c>
      <c r="I464" s="1">
        <v>45006.561111111114</v>
      </c>
      <c r="J464" s="1">
        <v>45006.538194444445</v>
      </c>
      <c r="K464" s="1">
        <v>45006.557638888888</v>
      </c>
      <c r="L464" t="s">
        <v>16</v>
      </c>
      <c r="M464" t="s">
        <v>20</v>
      </c>
    </row>
    <row r="465" spans="1:13" x14ac:dyDescent="0.3">
      <c r="A465" t="s">
        <v>493</v>
      </c>
      <c r="B465" t="s">
        <v>30</v>
      </c>
      <c r="C465" t="s">
        <v>27</v>
      </c>
      <c r="D465">
        <v>1.46</v>
      </c>
      <c r="E465">
        <v>92</v>
      </c>
      <c r="F465">
        <v>2.84</v>
      </c>
      <c r="G465">
        <v>98</v>
      </c>
      <c r="H465" s="1">
        <v>45006.548611111109</v>
      </c>
      <c r="I465" s="1">
        <v>45006.612500000003</v>
      </c>
      <c r="J465" s="1">
        <v>45006.545138888891</v>
      </c>
      <c r="K465" s="1">
        <v>45006.609027777777</v>
      </c>
      <c r="L465" t="s">
        <v>16</v>
      </c>
      <c r="M465" t="s">
        <v>20</v>
      </c>
    </row>
    <row r="466" spans="1:13" x14ac:dyDescent="0.3">
      <c r="A466" t="s">
        <v>494</v>
      </c>
      <c r="B466" t="s">
        <v>14</v>
      </c>
      <c r="C466" t="s">
        <v>32</v>
      </c>
      <c r="D466">
        <v>4.1900000000000004</v>
      </c>
      <c r="E466">
        <v>28</v>
      </c>
      <c r="F466">
        <v>2.46</v>
      </c>
      <c r="G466">
        <v>89</v>
      </c>
      <c r="H466" s="1">
        <v>45006.555555555555</v>
      </c>
      <c r="I466" s="1">
        <v>45006.574999999997</v>
      </c>
      <c r="L466" t="s">
        <v>24</v>
      </c>
      <c r="M466" t="s">
        <v>20</v>
      </c>
    </row>
    <row r="467" spans="1:13" x14ac:dyDescent="0.3">
      <c r="A467" t="s">
        <v>495</v>
      </c>
      <c r="B467" t="s">
        <v>14</v>
      </c>
      <c r="C467" t="s">
        <v>32</v>
      </c>
      <c r="D467">
        <v>4.8</v>
      </c>
      <c r="E467">
        <v>21</v>
      </c>
      <c r="F467">
        <v>11.49</v>
      </c>
      <c r="G467">
        <v>83</v>
      </c>
      <c r="H467" s="1">
        <v>45006.5625</v>
      </c>
      <c r="I467" s="1">
        <v>45006.57708333333</v>
      </c>
      <c r="J467" s="1">
        <v>45006.5625</v>
      </c>
      <c r="K467" s="1">
        <v>45006.57708333333</v>
      </c>
      <c r="L467" t="s">
        <v>16</v>
      </c>
      <c r="M467" t="s">
        <v>17</v>
      </c>
    </row>
    <row r="468" spans="1:13" x14ac:dyDescent="0.3">
      <c r="A468" t="s">
        <v>496</v>
      </c>
      <c r="B468" t="s">
        <v>14</v>
      </c>
      <c r="C468" t="s">
        <v>15</v>
      </c>
      <c r="D468">
        <v>1.76</v>
      </c>
      <c r="E468">
        <v>37</v>
      </c>
      <c r="F468">
        <v>10.63</v>
      </c>
      <c r="G468">
        <v>97</v>
      </c>
      <c r="H468" s="1">
        <v>45006.569444444445</v>
      </c>
      <c r="I468" s="1">
        <v>45006.595138888886</v>
      </c>
      <c r="J468" s="1">
        <v>45006.568055555559</v>
      </c>
      <c r="K468" s="1">
        <v>45006.59375</v>
      </c>
      <c r="L468" t="s">
        <v>16</v>
      </c>
      <c r="M468" t="s">
        <v>20</v>
      </c>
    </row>
    <row r="469" spans="1:13" x14ac:dyDescent="0.3">
      <c r="A469" t="s">
        <v>497</v>
      </c>
      <c r="B469" t="s">
        <v>34</v>
      </c>
      <c r="C469" t="s">
        <v>32</v>
      </c>
      <c r="D469">
        <v>1.8</v>
      </c>
      <c r="E469">
        <v>42</v>
      </c>
      <c r="F469">
        <v>9.42</v>
      </c>
      <c r="G469">
        <v>82</v>
      </c>
      <c r="H469" s="1">
        <v>45006.576388888891</v>
      </c>
      <c r="I469" s="1">
        <v>45006.605555555558</v>
      </c>
      <c r="J469" s="1">
        <v>45006.575694444444</v>
      </c>
      <c r="K469" s="1">
        <v>45006.604861111111</v>
      </c>
      <c r="L469" t="s">
        <v>16</v>
      </c>
      <c r="M469" t="s">
        <v>20</v>
      </c>
    </row>
    <row r="470" spans="1:13" x14ac:dyDescent="0.3">
      <c r="A470" t="s">
        <v>498</v>
      </c>
      <c r="B470" t="s">
        <v>22</v>
      </c>
      <c r="C470" t="s">
        <v>23</v>
      </c>
      <c r="D470">
        <v>4.17</v>
      </c>
      <c r="E470">
        <v>119</v>
      </c>
      <c r="F470">
        <v>9.17</v>
      </c>
      <c r="G470">
        <v>92</v>
      </c>
      <c r="H470" s="1">
        <v>45006.583333333336</v>
      </c>
      <c r="I470" s="1">
        <v>45006.665972222225</v>
      </c>
      <c r="J470" s="1">
        <v>45006.583333333336</v>
      </c>
      <c r="K470" s="1">
        <v>45006.665972222225</v>
      </c>
      <c r="L470" t="s">
        <v>16</v>
      </c>
      <c r="M470" t="s">
        <v>28</v>
      </c>
    </row>
    <row r="471" spans="1:13" x14ac:dyDescent="0.3">
      <c r="A471" t="s">
        <v>499</v>
      </c>
      <c r="B471" t="s">
        <v>34</v>
      </c>
      <c r="C471" t="s">
        <v>36</v>
      </c>
      <c r="D471">
        <v>1.8</v>
      </c>
      <c r="E471">
        <v>56</v>
      </c>
      <c r="F471">
        <v>11.98</v>
      </c>
      <c r="G471">
        <v>87</v>
      </c>
      <c r="H471" s="1">
        <v>45006.590277777781</v>
      </c>
      <c r="I471" s="1">
        <v>45006.629166666666</v>
      </c>
      <c r="J471" s="1">
        <v>45006.593055555553</v>
      </c>
      <c r="K471" s="1">
        <v>45006.631944444445</v>
      </c>
      <c r="L471" t="s">
        <v>16</v>
      </c>
      <c r="M471" t="s">
        <v>17</v>
      </c>
    </row>
    <row r="472" spans="1:13" x14ac:dyDescent="0.3">
      <c r="A472" t="s">
        <v>500</v>
      </c>
      <c r="B472" t="s">
        <v>14</v>
      </c>
      <c r="C472" t="s">
        <v>27</v>
      </c>
      <c r="D472">
        <v>1.72</v>
      </c>
      <c r="E472">
        <v>22</v>
      </c>
      <c r="F472">
        <v>2.2999999999999998</v>
      </c>
      <c r="G472">
        <v>90</v>
      </c>
      <c r="H472" s="1">
        <v>45006.597222222219</v>
      </c>
      <c r="I472" s="1">
        <v>45006.612500000003</v>
      </c>
      <c r="J472" s="1">
        <v>45006.600694444445</v>
      </c>
      <c r="K472" s="1">
        <v>45006.615972222222</v>
      </c>
      <c r="L472" t="s">
        <v>16</v>
      </c>
      <c r="M472" t="s">
        <v>28</v>
      </c>
    </row>
    <row r="473" spans="1:13" x14ac:dyDescent="0.3">
      <c r="A473" t="s">
        <v>501</v>
      </c>
      <c r="B473" t="s">
        <v>30</v>
      </c>
      <c r="C473" t="s">
        <v>15</v>
      </c>
      <c r="D473">
        <v>4.92</v>
      </c>
      <c r="E473">
        <v>79</v>
      </c>
      <c r="F473">
        <v>7.54</v>
      </c>
      <c r="G473">
        <v>98</v>
      </c>
      <c r="H473" s="1">
        <v>45006.604166666664</v>
      </c>
      <c r="I473" s="1">
        <v>45006.65902777778</v>
      </c>
      <c r="J473" s="1">
        <v>45006.601388888892</v>
      </c>
      <c r="K473" s="1">
        <v>45006.65625</v>
      </c>
      <c r="L473" t="s">
        <v>16</v>
      </c>
      <c r="M473" t="s">
        <v>20</v>
      </c>
    </row>
    <row r="474" spans="1:13" x14ac:dyDescent="0.3">
      <c r="A474" t="s">
        <v>502</v>
      </c>
      <c r="B474" t="s">
        <v>22</v>
      </c>
      <c r="C474" t="s">
        <v>27</v>
      </c>
      <c r="D474">
        <v>3.84</v>
      </c>
      <c r="E474">
        <v>80</v>
      </c>
      <c r="F474">
        <v>12.21</v>
      </c>
      <c r="G474">
        <v>81</v>
      </c>
      <c r="H474" s="1">
        <v>45006.611111111109</v>
      </c>
      <c r="I474" s="1">
        <v>45006.666666666664</v>
      </c>
      <c r="J474" s="1">
        <v>45006.607638888891</v>
      </c>
      <c r="K474" s="1">
        <v>45006.663194444445</v>
      </c>
      <c r="L474" t="s">
        <v>16</v>
      </c>
      <c r="M474" t="s">
        <v>20</v>
      </c>
    </row>
    <row r="475" spans="1:13" x14ac:dyDescent="0.3">
      <c r="A475" t="s">
        <v>503</v>
      </c>
      <c r="B475" t="s">
        <v>22</v>
      </c>
      <c r="C475" t="s">
        <v>15</v>
      </c>
      <c r="D475">
        <v>2.98</v>
      </c>
      <c r="E475">
        <v>52</v>
      </c>
      <c r="F475">
        <v>5.65</v>
      </c>
      <c r="G475">
        <v>82</v>
      </c>
      <c r="H475" s="1">
        <v>45006.618055555555</v>
      </c>
      <c r="I475" s="1">
        <v>45006.654166666667</v>
      </c>
      <c r="J475" s="1">
        <v>45006.638888888891</v>
      </c>
      <c r="K475" s="1">
        <v>45006.675000000003</v>
      </c>
      <c r="L475" t="s">
        <v>19</v>
      </c>
      <c r="M475" t="s">
        <v>20</v>
      </c>
    </row>
    <row r="476" spans="1:13" x14ac:dyDescent="0.3">
      <c r="A476" t="s">
        <v>504</v>
      </c>
      <c r="B476" t="s">
        <v>14</v>
      </c>
      <c r="C476" t="s">
        <v>27</v>
      </c>
      <c r="D476">
        <v>2.0699999999999998</v>
      </c>
      <c r="E476">
        <v>106</v>
      </c>
      <c r="F476">
        <v>8.41</v>
      </c>
      <c r="G476">
        <v>95</v>
      </c>
      <c r="H476" s="1">
        <v>45006.625</v>
      </c>
      <c r="I476" s="1">
        <v>45006.698611111111</v>
      </c>
      <c r="J476" s="1">
        <v>45006.62777777778</v>
      </c>
      <c r="K476" s="1">
        <v>45006.701388888891</v>
      </c>
      <c r="L476" t="s">
        <v>16</v>
      </c>
      <c r="M476" t="s">
        <v>17</v>
      </c>
    </row>
    <row r="477" spans="1:13" x14ac:dyDescent="0.3">
      <c r="A477" t="s">
        <v>505</v>
      </c>
      <c r="B477" t="s">
        <v>30</v>
      </c>
      <c r="C477" t="s">
        <v>27</v>
      </c>
      <c r="D477">
        <v>2.88</v>
      </c>
      <c r="E477">
        <v>83</v>
      </c>
      <c r="F477">
        <v>4.1399999999999997</v>
      </c>
      <c r="G477">
        <v>86</v>
      </c>
      <c r="H477" s="1">
        <v>45006.631944444445</v>
      </c>
      <c r="I477" s="1">
        <v>45006.689583333333</v>
      </c>
      <c r="J477" s="1">
        <v>45006.634027777778</v>
      </c>
      <c r="K477" s="1">
        <v>45006.691666666666</v>
      </c>
      <c r="L477" t="s">
        <v>16</v>
      </c>
      <c r="M477" t="s">
        <v>28</v>
      </c>
    </row>
    <row r="478" spans="1:13" x14ac:dyDescent="0.3">
      <c r="A478" t="s">
        <v>506</v>
      </c>
      <c r="B478" t="s">
        <v>14</v>
      </c>
      <c r="C478" t="s">
        <v>36</v>
      </c>
      <c r="D478">
        <v>1.23</v>
      </c>
      <c r="E478">
        <v>35</v>
      </c>
      <c r="F478">
        <v>14.52</v>
      </c>
      <c r="G478">
        <v>98</v>
      </c>
      <c r="H478" s="1">
        <v>45006.638888888891</v>
      </c>
      <c r="I478" s="1">
        <v>45006.663194444445</v>
      </c>
      <c r="J478" s="1">
        <v>45006.635416666664</v>
      </c>
      <c r="K478" s="1">
        <v>45006.659722222219</v>
      </c>
      <c r="L478" t="s">
        <v>16</v>
      </c>
      <c r="M478" t="s">
        <v>20</v>
      </c>
    </row>
    <row r="479" spans="1:13" x14ac:dyDescent="0.3">
      <c r="A479" t="s">
        <v>507</v>
      </c>
      <c r="B479" t="s">
        <v>34</v>
      </c>
      <c r="C479" t="s">
        <v>32</v>
      </c>
      <c r="D479">
        <v>3.89</v>
      </c>
      <c r="E479">
        <v>34</v>
      </c>
      <c r="F479">
        <v>7.69</v>
      </c>
      <c r="G479">
        <v>90</v>
      </c>
      <c r="H479" s="1">
        <v>45006.645833333336</v>
      </c>
      <c r="I479" s="1">
        <v>45006.669444444444</v>
      </c>
      <c r="J479" s="1">
        <v>45006.664583333331</v>
      </c>
      <c r="K479" s="1">
        <v>45006.688194444447</v>
      </c>
      <c r="L479" t="s">
        <v>19</v>
      </c>
      <c r="M479" t="s">
        <v>20</v>
      </c>
    </row>
    <row r="480" spans="1:13" x14ac:dyDescent="0.3">
      <c r="A480" t="s">
        <v>508</v>
      </c>
      <c r="B480" t="s">
        <v>30</v>
      </c>
      <c r="C480" t="s">
        <v>32</v>
      </c>
      <c r="D480">
        <v>4.82</v>
      </c>
      <c r="E480">
        <v>66</v>
      </c>
      <c r="F480">
        <v>3.68</v>
      </c>
      <c r="G480">
        <v>97</v>
      </c>
      <c r="H480" s="1">
        <v>45006.652777777781</v>
      </c>
      <c r="I480" s="1">
        <v>45006.698611111111</v>
      </c>
      <c r="J480" s="1">
        <v>45006.655555555553</v>
      </c>
      <c r="K480" s="1">
        <v>45006.701388888891</v>
      </c>
      <c r="L480" t="s">
        <v>16</v>
      </c>
      <c r="M480" t="s">
        <v>28</v>
      </c>
    </row>
    <row r="481" spans="1:13" x14ac:dyDescent="0.3">
      <c r="A481" t="s">
        <v>509</v>
      </c>
      <c r="B481" t="s">
        <v>14</v>
      </c>
      <c r="C481" t="s">
        <v>15</v>
      </c>
      <c r="D481">
        <v>2.2999999999999998</v>
      </c>
      <c r="E481">
        <v>54</v>
      </c>
      <c r="F481">
        <v>5.21</v>
      </c>
      <c r="G481">
        <v>81</v>
      </c>
      <c r="H481" s="1">
        <v>45006.659722222219</v>
      </c>
      <c r="I481" s="1">
        <v>45006.697222222225</v>
      </c>
      <c r="J481" s="1">
        <v>45006.65625</v>
      </c>
      <c r="K481" s="1">
        <v>45006.693749999999</v>
      </c>
      <c r="L481" t="s">
        <v>16</v>
      </c>
      <c r="M481" t="s">
        <v>20</v>
      </c>
    </row>
    <row r="482" spans="1:13" x14ac:dyDescent="0.3">
      <c r="A482" t="s">
        <v>510</v>
      </c>
      <c r="B482" t="s">
        <v>14</v>
      </c>
      <c r="C482" t="s">
        <v>15</v>
      </c>
      <c r="D482">
        <v>1.84</v>
      </c>
      <c r="E482">
        <v>38</v>
      </c>
      <c r="F482">
        <v>8.81</v>
      </c>
      <c r="G482">
        <v>80</v>
      </c>
      <c r="H482" s="1">
        <v>45006.666666666664</v>
      </c>
      <c r="I482" s="1">
        <v>45006.693055555559</v>
      </c>
      <c r="J482" s="1">
        <v>45006.680555555555</v>
      </c>
      <c r="K482" s="1">
        <v>45006.706944444442</v>
      </c>
      <c r="L482" t="s">
        <v>19</v>
      </c>
      <c r="M482" t="s">
        <v>20</v>
      </c>
    </row>
    <row r="483" spans="1:13" x14ac:dyDescent="0.3">
      <c r="A483" t="s">
        <v>511</v>
      </c>
      <c r="B483" t="s">
        <v>30</v>
      </c>
      <c r="C483" t="s">
        <v>23</v>
      </c>
      <c r="D483">
        <v>2.88</v>
      </c>
      <c r="E483">
        <v>73</v>
      </c>
      <c r="F483">
        <v>5.99</v>
      </c>
      <c r="G483">
        <v>91</v>
      </c>
      <c r="H483" s="1">
        <v>45006.673611111109</v>
      </c>
      <c r="I483" s="1">
        <v>45006.724305555559</v>
      </c>
      <c r="J483" s="1">
        <v>45006.675000000003</v>
      </c>
      <c r="K483" s="1">
        <v>45006.725694444445</v>
      </c>
      <c r="L483" t="s">
        <v>16</v>
      </c>
      <c r="M483" t="s">
        <v>28</v>
      </c>
    </row>
    <row r="484" spans="1:13" x14ac:dyDescent="0.3">
      <c r="A484" t="s">
        <v>512</v>
      </c>
      <c r="B484" t="s">
        <v>40</v>
      </c>
      <c r="C484" t="s">
        <v>32</v>
      </c>
      <c r="D484">
        <v>4</v>
      </c>
      <c r="E484">
        <v>33</v>
      </c>
      <c r="F484">
        <v>3.04</v>
      </c>
      <c r="G484">
        <v>83</v>
      </c>
      <c r="H484" s="1">
        <v>45006.680555555555</v>
      </c>
      <c r="I484" s="1">
        <v>45006.703472222223</v>
      </c>
      <c r="J484" s="1">
        <v>45006.678472222222</v>
      </c>
      <c r="K484" s="1">
        <v>45006.701388888891</v>
      </c>
      <c r="L484" t="s">
        <v>16</v>
      </c>
      <c r="M484" t="s">
        <v>20</v>
      </c>
    </row>
    <row r="485" spans="1:13" x14ac:dyDescent="0.3">
      <c r="A485" t="s">
        <v>513</v>
      </c>
      <c r="B485" t="s">
        <v>22</v>
      </c>
      <c r="C485" t="s">
        <v>23</v>
      </c>
      <c r="D485">
        <v>1.43</v>
      </c>
      <c r="E485">
        <v>111</v>
      </c>
      <c r="F485">
        <v>6.81</v>
      </c>
      <c r="G485">
        <v>90</v>
      </c>
      <c r="H485" s="1">
        <v>45006.6875</v>
      </c>
      <c r="I485" s="1">
        <v>45006.76458333333</v>
      </c>
      <c r="J485" s="1">
        <v>45006.684027777781</v>
      </c>
      <c r="K485" s="1">
        <v>45006.761111111111</v>
      </c>
      <c r="L485" t="s">
        <v>16</v>
      </c>
      <c r="M485" t="s">
        <v>20</v>
      </c>
    </row>
    <row r="486" spans="1:13" x14ac:dyDescent="0.3">
      <c r="A486" t="s">
        <v>514</v>
      </c>
      <c r="B486" t="s">
        <v>40</v>
      </c>
      <c r="C486" t="s">
        <v>27</v>
      </c>
      <c r="D486">
        <v>3.38</v>
      </c>
      <c r="E486">
        <v>34</v>
      </c>
      <c r="F486">
        <v>9</v>
      </c>
      <c r="G486">
        <v>95</v>
      </c>
      <c r="H486" s="1">
        <v>45006.694444444445</v>
      </c>
      <c r="I486" s="1">
        <v>45006.718055555553</v>
      </c>
      <c r="J486" s="1">
        <v>45006.691666666666</v>
      </c>
      <c r="K486" s="1">
        <v>45006.715277777781</v>
      </c>
      <c r="L486" t="s">
        <v>16</v>
      </c>
      <c r="M486" t="s">
        <v>20</v>
      </c>
    </row>
    <row r="487" spans="1:13" x14ac:dyDescent="0.3">
      <c r="A487" t="s">
        <v>515</v>
      </c>
      <c r="B487" t="s">
        <v>40</v>
      </c>
      <c r="C487" t="s">
        <v>15</v>
      </c>
      <c r="D487">
        <v>2.91</v>
      </c>
      <c r="E487">
        <v>53</v>
      </c>
      <c r="F487">
        <v>8.1199999999999992</v>
      </c>
      <c r="G487">
        <v>84</v>
      </c>
      <c r="H487" s="1">
        <v>45006.701388888891</v>
      </c>
      <c r="I487" s="1">
        <v>45006.738194444442</v>
      </c>
      <c r="J487" s="1">
        <v>45006.7</v>
      </c>
      <c r="K487" s="1">
        <v>45006.736805555556</v>
      </c>
      <c r="L487" t="s">
        <v>16</v>
      </c>
      <c r="M487" t="s">
        <v>20</v>
      </c>
    </row>
    <row r="488" spans="1:13" x14ac:dyDescent="0.3">
      <c r="A488" t="s">
        <v>516</v>
      </c>
      <c r="B488" t="s">
        <v>14</v>
      </c>
      <c r="C488" t="s">
        <v>27</v>
      </c>
      <c r="D488">
        <v>3.23</v>
      </c>
      <c r="E488">
        <v>100</v>
      </c>
      <c r="F488">
        <v>9.2200000000000006</v>
      </c>
      <c r="G488">
        <v>93</v>
      </c>
      <c r="H488" s="1">
        <v>45006.708333333336</v>
      </c>
      <c r="I488" s="1">
        <v>45006.777777777781</v>
      </c>
      <c r="J488" s="1">
        <v>45006.727083333331</v>
      </c>
      <c r="K488" s="1">
        <v>45006.796527777777</v>
      </c>
      <c r="L488" t="s">
        <v>19</v>
      </c>
      <c r="M488" t="s">
        <v>20</v>
      </c>
    </row>
    <row r="489" spans="1:13" x14ac:dyDescent="0.3">
      <c r="A489" t="s">
        <v>517</v>
      </c>
      <c r="B489" t="s">
        <v>34</v>
      </c>
      <c r="C489" t="s">
        <v>32</v>
      </c>
      <c r="D489">
        <v>2.1</v>
      </c>
      <c r="E489">
        <v>95</v>
      </c>
      <c r="F489">
        <v>5.58</v>
      </c>
      <c r="G489">
        <v>92</v>
      </c>
      <c r="H489" s="1">
        <v>45006.715277777781</v>
      </c>
      <c r="I489" s="1">
        <v>45006.78125</v>
      </c>
      <c r="J489" s="1">
        <v>45006.71875</v>
      </c>
      <c r="K489" s="1">
        <v>45006.784722222219</v>
      </c>
      <c r="L489" t="s">
        <v>16</v>
      </c>
      <c r="M489" t="s">
        <v>28</v>
      </c>
    </row>
    <row r="490" spans="1:13" x14ac:dyDescent="0.3">
      <c r="A490" t="s">
        <v>518</v>
      </c>
      <c r="B490" t="s">
        <v>22</v>
      </c>
      <c r="C490" t="s">
        <v>27</v>
      </c>
      <c r="D490">
        <v>1.82</v>
      </c>
      <c r="E490">
        <v>37</v>
      </c>
      <c r="F490">
        <v>4.17</v>
      </c>
      <c r="G490">
        <v>93</v>
      </c>
      <c r="H490" s="1">
        <v>45006.722222222219</v>
      </c>
      <c r="I490" s="1">
        <v>45006.747916666667</v>
      </c>
      <c r="J490" s="1">
        <v>45006.723611111112</v>
      </c>
      <c r="K490" s="1">
        <v>45006.749305555553</v>
      </c>
      <c r="L490" t="s">
        <v>16</v>
      </c>
      <c r="M490" t="s">
        <v>28</v>
      </c>
    </row>
    <row r="491" spans="1:13" x14ac:dyDescent="0.3">
      <c r="A491" t="s">
        <v>519</v>
      </c>
      <c r="B491" t="s">
        <v>34</v>
      </c>
      <c r="C491" t="s">
        <v>15</v>
      </c>
      <c r="D491">
        <v>1.69</v>
      </c>
      <c r="E491">
        <v>81</v>
      </c>
      <c r="F491">
        <v>5.42</v>
      </c>
      <c r="G491">
        <v>95</v>
      </c>
      <c r="H491" s="1">
        <v>45006.729166666664</v>
      </c>
      <c r="I491" s="1">
        <v>45006.785416666666</v>
      </c>
      <c r="J491" s="1">
        <v>45006.729861111111</v>
      </c>
      <c r="K491" s="1">
        <v>45006.786111111112</v>
      </c>
      <c r="L491" t="s">
        <v>16</v>
      </c>
      <c r="M491" t="s">
        <v>28</v>
      </c>
    </row>
    <row r="492" spans="1:13" x14ac:dyDescent="0.3">
      <c r="A492" t="s">
        <v>520</v>
      </c>
      <c r="B492" t="s">
        <v>14</v>
      </c>
      <c r="C492" t="s">
        <v>32</v>
      </c>
      <c r="D492">
        <v>3.67</v>
      </c>
      <c r="E492">
        <v>36</v>
      </c>
      <c r="F492">
        <v>13.87</v>
      </c>
      <c r="G492">
        <v>91</v>
      </c>
      <c r="H492" s="1">
        <v>45006.736111111109</v>
      </c>
      <c r="I492" s="1">
        <v>45006.761111111111</v>
      </c>
      <c r="J492" s="1">
        <v>45006.736111111109</v>
      </c>
      <c r="K492" s="1">
        <v>45006.761111111111</v>
      </c>
      <c r="L492" t="s">
        <v>16</v>
      </c>
      <c r="M492" t="s">
        <v>17</v>
      </c>
    </row>
    <row r="493" spans="1:13" x14ac:dyDescent="0.3">
      <c r="A493" t="s">
        <v>521</v>
      </c>
      <c r="B493" t="s">
        <v>22</v>
      </c>
      <c r="C493" t="s">
        <v>23</v>
      </c>
      <c r="D493">
        <v>3.69</v>
      </c>
      <c r="E493">
        <v>65</v>
      </c>
      <c r="F493">
        <v>5.53</v>
      </c>
      <c r="G493">
        <v>91</v>
      </c>
      <c r="H493" s="1">
        <v>45006.743055555555</v>
      </c>
      <c r="I493" s="1">
        <v>45006.788194444445</v>
      </c>
      <c r="J493" s="1">
        <v>45006.744444444441</v>
      </c>
      <c r="K493" s="1">
        <v>45006.789583333331</v>
      </c>
      <c r="L493" t="s">
        <v>16</v>
      </c>
      <c r="M493" t="s">
        <v>28</v>
      </c>
    </row>
    <row r="494" spans="1:13" x14ac:dyDescent="0.3">
      <c r="A494" t="s">
        <v>522</v>
      </c>
      <c r="B494" t="s">
        <v>30</v>
      </c>
      <c r="C494" t="s">
        <v>23</v>
      </c>
      <c r="D494">
        <v>4.47</v>
      </c>
      <c r="E494">
        <v>100</v>
      </c>
      <c r="F494">
        <v>9.82</v>
      </c>
      <c r="G494">
        <v>81</v>
      </c>
      <c r="H494" s="1">
        <v>45006.75</v>
      </c>
      <c r="I494" s="1">
        <v>45006.819444444445</v>
      </c>
      <c r="J494" s="1">
        <v>45006.75277777778</v>
      </c>
      <c r="K494" s="1">
        <v>45006.822222222225</v>
      </c>
      <c r="L494" t="s">
        <v>16</v>
      </c>
      <c r="M494" t="s">
        <v>17</v>
      </c>
    </row>
    <row r="495" spans="1:13" x14ac:dyDescent="0.3">
      <c r="A495" t="s">
        <v>523</v>
      </c>
      <c r="B495" t="s">
        <v>34</v>
      </c>
      <c r="C495" t="s">
        <v>32</v>
      </c>
      <c r="D495">
        <v>1.21</v>
      </c>
      <c r="E495">
        <v>71</v>
      </c>
      <c r="F495">
        <v>6.85</v>
      </c>
      <c r="G495">
        <v>91</v>
      </c>
      <c r="H495" s="1">
        <v>45006.756944444445</v>
      </c>
      <c r="I495" s="1">
        <v>45006.806250000001</v>
      </c>
      <c r="J495" s="1">
        <v>45006.772916666669</v>
      </c>
      <c r="K495" s="1">
        <v>45006.822222222225</v>
      </c>
      <c r="L495" t="s">
        <v>19</v>
      </c>
      <c r="M495" t="s">
        <v>20</v>
      </c>
    </row>
    <row r="496" spans="1:13" x14ac:dyDescent="0.3">
      <c r="A496" t="s">
        <v>524</v>
      </c>
      <c r="B496" t="s">
        <v>14</v>
      </c>
      <c r="C496" t="s">
        <v>36</v>
      </c>
      <c r="D496">
        <v>2.42</v>
      </c>
      <c r="E496">
        <v>44</v>
      </c>
      <c r="F496">
        <v>6.16</v>
      </c>
      <c r="G496">
        <v>92</v>
      </c>
      <c r="H496" s="1">
        <v>45006.763888888891</v>
      </c>
      <c r="I496" s="1">
        <v>45006.794444444444</v>
      </c>
      <c r="J496" s="1">
        <v>45006.763888888891</v>
      </c>
      <c r="K496" s="1">
        <v>45006.794444444444</v>
      </c>
      <c r="L496" t="s">
        <v>16</v>
      </c>
      <c r="M496" t="s">
        <v>28</v>
      </c>
    </row>
    <row r="497" spans="1:13" x14ac:dyDescent="0.3">
      <c r="A497" t="s">
        <v>525</v>
      </c>
      <c r="B497" t="s">
        <v>22</v>
      </c>
      <c r="C497" t="s">
        <v>32</v>
      </c>
      <c r="D497">
        <v>3.58</v>
      </c>
      <c r="E497">
        <v>38</v>
      </c>
      <c r="F497">
        <v>8.3699999999999992</v>
      </c>
      <c r="G497">
        <v>81</v>
      </c>
      <c r="H497" s="1">
        <v>45006.770833333336</v>
      </c>
      <c r="I497" s="1">
        <v>45006.797222222223</v>
      </c>
      <c r="L497" t="s">
        <v>24</v>
      </c>
      <c r="M497" t="s">
        <v>20</v>
      </c>
    </row>
    <row r="498" spans="1:13" x14ac:dyDescent="0.3">
      <c r="A498" t="s">
        <v>526</v>
      </c>
      <c r="B498" t="s">
        <v>14</v>
      </c>
      <c r="C498" t="s">
        <v>36</v>
      </c>
      <c r="D498">
        <v>4.9400000000000004</v>
      </c>
      <c r="E498">
        <v>23</v>
      </c>
      <c r="F498">
        <v>10.07</v>
      </c>
      <c r="G498">
        <v>92</v>
      </c>
      <c r="H498" s="1">
        <v>45006.777777777781</v>
      </c>
      <c r="I498" s="1">
        <v>45006.793749999997</v>
      </c>
      <c r="J498" s="1">
        <v>45006.77847222222</v>
      </c>
      <c r="K498" s="1">
        <v>45006.794444444444</v>
      </c>
      <c r="L498" t="s">
        <v>16</v>
      </c>
      <c r="M498" t="s">
        <v>17</v>
      </c>
    </row>
    <row r="499" spans="1:13" x14ac:dyDescent="0.3">
      <c r="A499" t="s">
        <v>527</v>
      </c>
      <c r="B499" t="s">
        <v>14</v>
      </c>
      <c r="C499" t="s">
        <v>36</v>
      </c>
      <c r="D499">
        <v>2.27</v>
      </c>
      <c r="E499">
        <v>97</v>
      </c>
      <c r="F499">
        <v>8.17</v>
      </c>
      <c r="G499">
        <v>85</v>
      </c>
      <c r="H499" s="1">
        <v>45006.784722222219</v>
      </c>
      <c r="I499" s="1">
        <v>45006.852083333331</v>
      </c>
      <c r="J499" s="1">
        <v>45006.786805555559</v>
      </c>
      <c r="K499" s="1">
        <v>45006.854166666664</v>
      </c>
      <c r="L499" t="s">
        <v>16</v>
      </c>
      <c r="M499" t="s">
        <v>17</v>
      </c>
    </row>
    <row r="500" spans="1:13" x14ac:dyDescent="0.3">
      <c r="A500" t="s">
        <v>528</v>
      </c>
      <c r="B500" t="s">
        <v>34</v>
      </c>
      <c r="C500" t="s">
        <v>15</v>
      </c>
      <c r="D500">
        <v>4.3</v>
      </c>
      <c r="E500">
        <v>69</v>
      </c>
      <c r="F500">
        <v>8.5500000000000007</v>
      </c>
      <c r="G500">
        <v>88</v>
      </c>
      <c r="H500" s="1">
        <v>45006.791666666664</v>
      </c>
      <c r="I500" s="1">
        <v>45006.839583333334</v>
      </c>
      <c r="J500" s="1">
        <v>45006.794444444444</v>
      </c>
      <c r="K500" s="1">
        <v>45006.842361111114</v>
      </c>
      <c r="L500" t="s">
        <v>16</v>
      </c>
      <c r="M500" t="s">
        <v>17</v>
      </c>
    </row>
    <row r="501" spans="1:13" x14ac:dyDescent="0.3">
      <c r="A501" t="s">
        <v>529</v>
      </c>
      <c r="B501" t="s">
        <v>40</v>
      </c>
      <c r="C501" t="s">
        <v>23</v>
      </c>
      <c r="D501">
        <v>1.39</v>
      </c>
      <c r="E501">
        <v>48</v>
      </c>
      <c r="F501">
        <v>9.0500000000000007</v>
      </c>
      <c r="G501">
        <v>86</v>
      </c>
      <c r="H501" s="1">
        <v>45006.798611111109</v>
      </c>
      <c r="I501" s="1">
        <v>45006.831944444442</v>
      </c>
      <c r="L501" t="s">
        <v>24</v>
      </c>
      <c r="M501" t="s">
        <v>20</v>
      </c>
    </row>
    <row r="502" spans="1:13" x14ac:dyDescent="0.3">
      <c r="A502" t="s">
        <v>530</v>
      </c>
      <c r="B502" t="s">
        <v>30</v>
      </c>
      <c r="C502" t="s">
        <v>27</v>
      </c>
      <c r="D502">
        <v>1.3</v>
      </c>
      <c r="E502">
        <v>48</v>
      </c>
      <c r="F502">
        <v>6.1</v>
      </c>
      <c r="G502">
        <v>91</v>
      </c>
      <c r="H502" s="1">
        <v>45006.805555555555</v>
      </c>
      <c r="I502" s="1">
        <v>45006.838888888888</v>
      </c>
      <c r="J502" s="1">
        <v>45006.805555555555</v>
      </c>
      <c r="K502" s="1">
        <v>45006.838888888888</v>
      </c>
      <c r="L502" t="s">
        <v>16</v>
      </c>
      <c r="M502" t="s">
        <v>28</v>
      </c>
    </row>
    <row r="503" spans="1:13" x14ac:dyDescent="0.3">
      <c r="A503" t="s">
        <v>531</v>
      </c>
      <c r="B503" t="s">
        <v>34</v>
      </c>
      <c r="C503" t="s">
        <v>32</v>
      </c>
      <c r="D503">
        <v>3.91</v>
      </c>
      <c r="E503">
        <v>91</v>
      </c>
      <c r="F503">
        <v>10.83</v>
      </c>
      <c r="G503">
        <v>92</v>
      </c>
      <c r="H503" s="1">
        <v>45006.8125</v>
      </c>
      <c r="I503" s="1">
        <v>45006.875694444447</v>
      </c>
      <c r="J503" s="1">
        <v>45006.82708333333</v>
      </c>
      <c r="K503" s="1">
        <v>45006.890277777777</v>
      </c>
      <c r="L503" t="s">
        <v>19</v>
      </c>
      <c r="M503" t="s">
        <v>20</v>
      </c>
    </row>
    <row r="504" spans="1:13" x14ac:dyDescent="0.3">
      <c r="A504" t="s">
        <v>532</v>
      </c>
      <c r="B504" t="s">
        <v>14</v>
      </c>
      <c r="C504" t="s">
        <v>23</v>
      </c>
      <c r="D504">
        <v>1.76</v>
      </c>
      <c r="E504">
        <v>90</v>
      </c>
      <c r="F504">
        <v>14.29</v>
      </c>
      <c r="G504">
        <v>83</v>
      </c>
      <c r="H504" s="1">
        <v>45006.819444444445</v>
      </c>
      <c r="I504" s="1">
        <v>45006.881944444445</v>
      </c>
      <c r="J504" s="1">
        <v>45006.818749999999</v>
      </c>
      <c r="K504" s="1">
        <v>45006.881249999999</v>
      </c>
      <c r="L504" t="s">
        <v>16</v>
      </c>
      <c r="M504" t="s">
        <v>20</v>
      </c>
    </row>
    <row r="505" spans="1:13" x14ac:dyDescent="0.3">
      <c r="A505" t="s">
        <v>533</v>
      </c>
      <c r="B505" t="s">
        <v>14</v>
      </c>
      <c r="C505" t="s">
        <v>27</v>
      </c>
      <c r="D505">
        <v>2.2200000000000002</v>
      </c>
      <c r="E505">
        <v>81</v>
      </c>
      <c r="F505">
        <v>13.88</v>
      </c>
      <c r="G505">
        <v>89</v>
      </c>
      <c r="H505" s="1">
        <v>45006.826388888891</v>
      </c>
      <c r="I505" s="1">
        <v>45006.882638888892</v>
      </c>
      <c r="J505" s="1">
        <v>45006.837500000001</v>
      </c>
      <c r="K505" s="1">
        <v>45006.893750000003</v>
      </c>
      <c r="L505" t="s">
        <v>19</v>
      </c>
      <c r="M505" t="s">
        <v>20</v>
      </c>
    </row>
    <row r="506" spans="1:13" x14ac:dyDescent="0.3">
      <c r="A506" t="s">
        <v>534</v>
      </c>
      <c r="B506" t="s">
        <v>30</v>
      </c>
      <c r="C506" t="s">
        <v>32</v>
      </c>
      <c r="D506">
        <v>1.28</v>
      </c>
      <c r="E506">
        <v>74</v>
      </c>
      <c r="F506">
        <v>13.58</v>
      </c>
      <c r="G506">
        <v>90</v>
      </c>
      <c r="H506" s="1">
        <v>45006.833333333336</v>
      </c>
      <c r="I506" s="1">
        <v>45006.884722222225</v>
      </c>
      <c r="J506" s="1">
        <v>45006.829861111109</v>
      </c>
      <c r="K506" s="1">
        <v>45006.881249999999</v>
      </c>
      <c r="L506" t="s">
        <v>16</v>
      </c>
      <c r="M506" t="s">
        <v>20</v>
      </c>
    </row>
    <row r="507" spans="1:13" x14ac:dyDescent="0.3">
      <c r="A507" t="s">
        <v>535</v>
      </c>
      <c r="B507" t="s">
        <v>34</v>
      </c>
      <c r="C507" t="s">
        <v>32</v>
      </c>
      <c r="D507">
        <v>3.94</v>
      </c>
      <c r="E507">
        <v>117</v>
      </c>
      <c r="F507">
        <v>8.99</v>
      </c>
      <c r="G507">
        <v>82</v>
      </c>
      <c r="H507" s="1">
        <v>45006.840277777781</v>
      </c>
      <c r="I507" s="1">
        <v>45006.921527777777</v>
      </c>
      <c r="J507" s="1">
        <v>45006.838888888888</v>
      </c>
      <c r="K507" s="1">
        <v>45006.920138888891</v>
      </c>
      <c r="L507" t="s">
        <v>16</v>
      </c>
      <c r="M507" t="s">
        <v>20</v>
      </c>
    </row>
    <row r="508" spans="1:13" x14ac:dyDescent="0.3">
      <c r="A508" t="s">
        <v>536</v>
      </c>
      <c r="B508" t="s">
        <v>14</v>
      </c>
      <c r="C508" t="s">
        <v>36</v>
      </c>
      <c r="D508">
        <v>1.45</v>
      </c>
      <c r="E508">
        <v>22</v>
      </c>
      <c r="F508">
        <v>14.51</v>
      </c>
      <c r="G508">
        <v>80</v>
      </c>
      <c r="H508" s="1">
        <v>45006.847222222219</v>
      </c>
      <c r="I508" s="1">
        <v>45006.862500000003</v>
      </c>
      <c r="J508" s="1">
        <v>45006.855555555558</v>
      </c>
      <c r="K508" s="1">
        <v>45006.870833333334</v>
      </c>
      <c r="L508" t="s">
        <v>19</v>
      </c>
      <c r="M508" t="s">
        <v>20</v>
      </c>
    </row>
    <row r="509" spans="1:13" x14ac:dyDescent="0.3">
      <c r="A509" t="s">
        <v>537</v>
      </c>
      <c r="B509" t="s">
        <v>22</v>
      </c>
      <c r="C509" t="s">
        <v>15</v>
      </c>
      <c r="D509">
        <v>2.59</v>
      </c>
      <c r="E509">
        <v>77</v>
      </c>
      <c r="F509">
        <v>6.72</v>
      </c>
      <c r="G509">
        <v>81</v>
      </c>
      <c r="H509" s="1">
        <v>45006.854166666664</v>
      </c>
      <c r="I509" s="1">
        <v>45006.907638888886</v>
      </c>
      <c r="J509" s="1">
        <v>45006.873611111114</v>
      </c>
      <c r="K509" s="1">
        <v>45006.927083333336</v>
      </c>
      <c r="L509" t="s">
        <v>19</v>
      </c>
      <c r="M509" t="s">
        <v>20</v>
      </c>
    </row>
    <row r="510" spans="1:13" x14ac:dyDescent="0.3">
      <c r="A510" t="s">
        <v>538</v>
      </c>
      <c r="B510" t="s">
        <v>40</v>
      </c>
      <c r="C510" t="s">
        <v>32</v>
      </c>
      <c r="D510">
        <v>3.39</v>
      </c>
      <c r="E510">
        <v>103</v>
      </c>
      <c r="F510">
        <v>9.1300000000000008</v>
      </c>
      <c r="G510">
        <v>86</v>
      </c>
      <c r="H510" s="1">
        <v>45006.861111111109</v>
      </c>
      <c r="I510" s="1">
        <v>45006.932638888888</v>
      </c>
      <c r="J510" s="1">
        <v>45006.861111111109</v>
      </c>
      <c r="K510" s="1">
        <v>45006.932638888888</v>
      </c>
      <c r="L510" t="s">
        <v>16</v>
      </c>
      <c r="M510" t="s">
        <v>28</v>
      </c>
    </row>
    <row r="511" spans="1:13" x14ac:dyDescent="0.3">
      <c r="A511" t="s">
        <v>539</v>
      </c>
      <c r="B511" t="s">
        <v>14</v>
      </c>
      <c r="C511" t="s">
        <v>36</v>
      </c>
      <c r="D511">
        <v>4.26</v>
      </c>
      <c r="E511">
        <v>61</v>
      </c>
      <c r="F511">
        <v>14.14</v>
      </c>
      <c r="G511">
        <v>89</v>
      </c>
      <c r="H511" s="1">
        <v>45006.868055555555</v>
      </c>
      <c r="I511" s="1">
        <v>45006.910416666666</v>
      </c>
      <c r="L511" t="s">
        <v>24</v>
      </c>
      <c r="M511" t="s">
        <v>20</v>
      </c>
    </row>
    <row r="512" spans="1:13" x14ac:dyDescent="0.3">
      <c r="A512" t="s">
        <v>540</v>
      </c>
      <c r="B512" t="s">
        <v>30</v>
      </c>
      <c r="C512" t="s">
        <v>15</v>
      </c>
      <c r="D512">
        <v>1.93</v>
      </c>
      <c r="E512">
        <v>74</v>
      </c>
      <c r="F512">
        <v>9.07</v>
      </c>
      <c r="G512">
        <v>84</v>
      </c>
      <c r="H512" s="1">
        <v>45006.875</v>
      </c>
      <c r="I512" s="1">
        <v>45006.926388888889</v>
      </c>
      <c r="J512" s="1">
        <v>45006.874305555553</v>
      </c>
      <c r="K512" s="1">
        <v>45006.925694444442</v>
      </c>
      <c r="L512" t="s">
        <v>16</v>
      </c>
      <c r="M512" t="s">
        <v>20</v>
      </c>
    </row>
    <row r="513" spans="1:13" x14ac:dyDescent="0.3">
      <c r="A513" t="s">
        <v>541</v>
      </c>
      <c r="B513" t="s">
        <v>34</v>
      </c>
      <c r="C513" t="s">
        <v>23</v>
      </c>
      <c r="D513">
        <v>4.9000000000000004</v>
      </c>
      <c r="E513">
        <v>98</v>
      </c>
      <c r="F513">
        <v>4.2699999999999996</v>
      </c>
      <c r="G513">
        <v>90</v>
      </c>
      <c r="H513" s="1">
        <v>45006.881944444445</v>
      </c>
      <c r="I513" s="1">
        <v>45006.95</v>
      </c>
      <c r="J513" s="1">
        <v>45006.878472222219</v>
      </c>
      <c r="K513" s="1">
        <v>45006.946527777778</v>
      </c>
      <c r="L513" t="s">
        <v>16</v>
      </c>
      <c r="M513" t="s">
        <v>20</v>
      </c>
    </row>
    <row r="514" spans="1:13" x14ac:dyDescent="0.3">
      <c r="A514" t="s">
        <v>542</v>
      </c>
      <c r="B514" t="s">
        <v>40</v>
      </c>
      <c r="C514" t="s">
        <v>27</v>
      </c>
      <c r="D514">
        <v>2.5499999999999998</v>
      </c>
      <c r="E514">
        <v>72</v>
      </c>
      <c r="F514">
        <v>14.65</v>
      </c>
      <c r="G514">
        <v>95</v>
      </c>
      <c r="H514" s="1">
        <v>45006.888888888891</v>
      </c>
      <c r="I514" s="1">
        <v>45006.938888888886</v>
      </c>
      <c r="L514" t="s">
        <v>24</v>
      </c>
      <c r="M514" t="s">
        <v>20</v>
      </c>
    </row>
    <row r="515" spans="1:13" x14ac:dyDescent="0.3">
      <c r="A515" t="s">
        <v>543</v>
      </c>
      <c r="B515" t="s">
        <v>14</v>
      </c>
      <c r="C515" t="s">
        <v>15</v>
      </c>
      <c r="D515">
        <v>1.84</v>
      </c>
      <c r="E515">
        <v>116</v>
      </c>
      <c r="F515">
        <v>9.83</v>
      </c>
      <c r="G515">
        <v>87</v>
      </c>
      <c r="H515" s="1">
        <v>45006.895833333336</v>
      </c>
      <c r="I515" s="1">
        <v>45006.976388888892</v>
      </c>
      <c r="L515" t="s">
        <v>24</v>
      </c>
      <c r="M515" t="s">
        <v>20</v>
      </c>
    </row>
    <row r="516" spans="1:13" x14ac:dyDescent="0.3">
      <c r="A516" t="s">
        <v>544</v>
      </c>
      <c r="B516" t="s">
        <v>40</v>
      </c>
      <c r="C516" t="s">
        <v>27</v>
      </c>
      <c r="D516">
        <v>1.54</v>
      </c>
      <c r="E516">
        <v>40</v>
      </c>
      <c r="F516">
        <v>4.16</v>
      </c>
      <c r="G516">
        <v>88</v>
      </c>
      <c r="H516" s="1">
        <v>45006.902777777781</v>
      </c>
      <c r="I516" s="1">
        <v>45006.930555555555</v>
      </c>
      <c r="J516" s="1">
        <v>45006.921527777777</v>
      </c>
      <c r="K516" s="1">
        <v>45006.949305555558</v>
      </c>
      <c r="L516" t="s">
        <v>19</v>
      </c>
      <c r="M516" t="s">
        <v>20</v>
      </c>
    </row>
    <row r="517" spans="1:13" x14ac:dyDescent="0.3">
      <c r="A517" t="s">
        <v>545</v>
      </c>
      <c r="B517" t="s">
        <v>14</v>
      </c>
      <c r="C517" t="s">
        <v>36</v>
      </c>
      <c r="D517">
        <v>4.83</v>
      </c>
      <c r="E517">
        <v>50</v>
      </c>
      <c r="F517">
        <v>4.7699999999999996</v>
      </c>
      <c r="G517">
        <v>90</v>
      </c>
      <c r="H517" s="1">
        <v>45006.909722222219</v>
      </c>
      <c r="I517" s="1">
        <v>45006.944444444445</v>
      </c>
      <c r="L517" t="s">
        <v>24</v>
      </c>
      <c r="M517" t="s">
        <v>20</v>
      </c>
    </row>
    <row r="518" spans="1:13" x14ac:dyDescent="0.3">
      <c r="A518" t="s">
        <v>546</v>
      </c>
      <c r="B518" t="s">
        <v>22</v>
      </c>
      <c r="C518" t="s">
        <v>27</v>
      </c>
      <c r="D518">
        <v>4.6399999999999997</v>
      </c>
      <c r="E518">
        <v>66</v>
      </c>
      <c r="F518">
        <v>14.84</v>
      </c>
      <c r="G518">
        <v>84</v>
      </c>
      <c r="H518" s="1">
        <v>45006.916666666664</v>
      </c>
      <c r="I518" s="1">
        <v>45006.962500000001</v>
      </c>
      <c r="J518" s="1">
        <v>45006.915972222225</v>
      </c>
      <c r="K518" s="1">
        <v>45006.961805555555</v>
      </c>
      <c r="L518" t="s">
        <v>16</v>
      </c>
      <c r="M518" t="s">
        <v>20</v>
      </c>
    </row>
    <row r="519" spans="1:13" x14ac:dyDescent="0.3">
      <c r="A519" t="s">
        <v>547</v>
      </c>
      <c r="B519" t="s">
        <v>34</v>
      </c>
      <c r="C519" t="s">
        <v>27</v>
      </c>
      <c r="D519">
        <v>2.64</v>
      </c>
      <c r="E519">
        <v>61</v>
      </c>
      <c r="F519">
        <v>4.09</v>
      </c>
      <c r="G519">
        <v>87</v>
      </c>
      <c r="H519" s="1">
        <v>45006.923611111109</v>
      </c>
      <c r="I519" s="1">
        <v>45006.96597222222</v>
      </c>
      <c r="J519" s="1">
        <v>45006.921527777777</v>
      </c>
      <c r="K519" s="1">
        <v>45006.963888888888</v>
      </c>
      <c r="L519" t="s">
        <v>16</v>
      </c>
      <c r="M519" t="s">
        <v>20</v>
      </c>
    </row>
    <row r="520" spans="1:13" x14ac:dyDescent="0.3">
      <c r="A520" t="s">
        <v>548</v>
      </c>
      <c r="B520" t="s">
        <v>30</v>
      </c>
      <c r="C520" t="s">
        <v>36</v>
      </c>
      <c r="D520">
        <v>3.6</v>
      </c>
      <c r="E520">
        <v>96</v>
      </c>
      <c r="F520">
        <v>14.32</v>
      </c>
      <c r="G520">
        <v>89</v>
      </c>
      <c r="H520" s="1">
        <v>45006.930555555555</v>
      </c>
      <c r="I520" s="1">
        <v>45006.99722222222</v>
      </c>
      <c r="J520" s="1">
        <v>45006.931944444441</v>
      </c>
      <c r="K520" s="1">
        <v>45006.998611111114</v>
      </c>
      <c r="L520" t="s">
        <v>16</v>
      </c>
      <c r="M520" t="s">
        <v>17</v>
      </c>
    </row>
    <row r="521" spans="1:13" x14ac:dyDescent="0.3">
      <c r="A521" t="s">
        <v>549</v>
      </c>
      <c r="B521" t="s">
        <v>22</v>
      </c>
      <c r="C521" t="s">
        <v>23</v>
      </c>
      <c r="D521">
        <v>3.26</v>
      </c>
      <c r="E521">
        <v>34</v>
      </c>
      <c r="F521">
        <v>6.56</v>
      </c>
      <c r="G521">
        <v>94</v>
      </c>
      <c r="H521" s="1">
        <v>45006.9375</v>
      </c>
      <c r="I521" s="1">
        <v>45006.961111111108</v>
      </c>
      <c r="L521" t="s">
        <v>24</v>
      </c>
      <c r="M521" t="s">
        <v>20</v>
      </c>
    </row>
    <row r="522" spans="1:13" x14ac:dyDescent="0.3">
      <c r="A522" t="s">
        <v>550</v>
      </c>
      <c r="B522" t="s">
        <v>34</v>
      </c>
      <c r="C522" t="s">
        <v>32</v>
      </c>
      <c r="D522">
        <v>4.8099999999999996</v>
      </c>
      <c r="E522">
        <v>62</v>
      </c>
      <c r="F522">
        <v>14.46</v>
      </c>
      <c r="G522">
        <v>80</v>
      </c>
      <c r="H522" s="1">
        <v>45006.944444444445</v>
      </c>
      <c r="I522" s="1">
        <v>45006.987500000003</v>
      </c>
      <c r="J522" s="1">
        <v>45006.940972222219</v>
      </c>
      <c r="K522" s="1">
        <v>45006.984027777777</v>
      </c>
      <c r="L522" t="s">
        <v>16</v>
      </c>
      <c r="M522" t="s">
        <v>20</v>
      </c>
    </row>
    <row r="523" spans="1:13" x14ac:dyDescent="0.3">
      <c r="A523" t="s">
        <v>551</v>
      </c>
      <c r="B523" t="s">
        <v>22</v>
      </c>
      <c r="C523" t="s">
        <v>27</v>
      </c>
      <c r="D523">
        <v>2.81</v>
      </c>
      <c r="E523">
        <v>24</v>
      </c>
      <c r="F523">
        <v>11.99</v>
      </c>
      <c r="G523">
        <v>82</v>
      </c>
      <c r="H523" s="1">
        <v>45006.951388888891</v>
      </c>
      <c r="I523" s="1">
        <v>45006.968055555553</v>
      </c>
      <c r="J523" s="1">
        <v>45006.970138888886</v>
      </c>
      <c r="K523" s="1">
        <v>45006.986805555556</v>
      </c>
      <c r="L523" t="s">
        <v>19</v>
      </c>
      <c r="M523" t="s">
        <v>20</v>
      </c>
    </row>
    <row r="524" spans="1:13" x14ac:dyDescent="0.3">
      <c r="A524" t="s">
        <v>552</v>
      </c>
      <c r="B524" t="s">
        <v>30</v>
      </c>
      <c r="C524" t="s">
        <v>23</v>
      </c>
      <c r="D524">
        <v>1.32</v>
      </c>
      <c r="E524">
        <v>52</v>
      </c>
      <c r="F524">
        <v>6.94</v>
      </c>
      <c r="G524">
        <v>90</v>
      </c>
      <c r="H524" s="1">
        <v>45006.958333333336</v>
      </c>
      <c r="I524" s="1">
        <v>45006.994444444441</v>
      </c>
      <c r="J524" s="1">
        <v>45006.959722222222</v>
      </c>
      <c r="K524" s="1">
        <v>45006.995833333334</v>
      </c>
      <c r="L524" t="s">
        <v>16</v>
      </c>
      <c r="M524" t="s">
        <v>28</v>
      </c>
    </row>
    <row r="525" spans="1:13" x14ac:dyDescent="0.3">
      <c r="A525" t="s">
        <v>553</v>
      </c>
      <c r="B525" t="s">
        <v>40</v>
      </c>
      <c r="C525" t="s">
        <v>23</v>
      </c>
      <c r="D525">
        <v>3.18</v>
      </c>
      <c r="E525">
        <v>62</v>
      </c>
      <c r="F525">
        <v>10.68</v>
      </c>
      <c r="G525">
        <v>96</v>
      </c>
      <c r="H525" s="1">
        <v>45006.965277777781</v>
      </c>
      <c r="I525" s="1">
        <v>45007.008333333331</v>
      </c>
      <c r="J525" s="1">
        <v>45006.968055555553</v>
      </c>
      <c r="K525" s="1">
        <v>45007.011111111111</v>
      </c>
      <c r="L525" t="s">
        <v>16</v>
      </c>
      <c r="M525" t="s">
        <v>17</v>
      </c>
    </row>
    <row r="526" spans="1:13" x14ac:dyDescent="0.3">
      <c r="A526" t="s">
        <v>554</v>
      </c>
      <c r="B526" t="s">
        <v>14</v>
      </c>
      <c r="C526" t="s">
        <v>32</v>
      </c>
      <c r="D526">
        <v>2.66</v>
      </c>
      <c r="E526">
        <v>92</v>
      </c>
      <c r="F526">
        <v>10.02</v>
      </c>
      <c r="G526">
        <v>88</v>
      </c>
      <c r="H526" s="1">
        <v>45006.972222222219</v>
      </c>
      <c r="I526" s="1">
        <v>45007.036111111112</v>
      </c>
      <c r="J526" s="1">
        <v>45006.972916666666</v>
      </c>
      <c r="K526" s="1">
        <v>45007.036805555559</v>
      </c>
      <c r="L526" t="s">
        <v>16</v>
      </c>
      <c r="M526" t="s">
        <v>17</v>
      </c>
    </row>
    <row r="527" spans="1:13" x14ac:dyDescent="0.3">
      <c r="A527" t="s">
        <v>555</v>
      </c>
      <c r="B527" t="s">
        <v>30</v>
      </c>
      <c r="C527" t="s">
        <v>15</v>
      </c>
      <c r="D527">
        <v>3.61</v>
      </c>
      <c r="E527">
        <v>76</v>
      </c>
      <c r="F527">
        <v>9.64</v>
      </c>
      <c r="G527">
        <v>96</v>
      </c>
      <c r="H527" s="1">
        <v>45006.979166666664</v>
      </c>
      <c r="I527" s="1">
        <v>45007.031944444447</v>
      </c>
      <c r="J527" s="1">
        <v>45006.975694444445</v>
      </c>
      <c r="K527" s="1">
        <v>45007.02847222222</v>
      </c>
      <c r="L527" t="s">
        <v>16</v>
      </c>
      <c r="M527" t="s">
        <v>20</v>
      </c>
    </row>
    <row r="528" spans="1:13" x14ac:dyDescent="0.3">
      <c r="A528" t="s">
        <v>556</v>
      </c>
      <c r="B528" t="s">
        <v>14</v>
      </c>
      <c r="C528" t="s">
        <v>32</v>
      </c>
      <c r="D528">
        <v>1.08</v>
      </c>
      <c r="E528">
        <v>67</v>
      </c>
      <c r="F528">
        <v>3.15</v>
      </c>
      <c r="G528">
        <v>91</v>
      </c>
      <c r="H528" s="1">
        <v>45006.986111111109</v>
      </c>
      <c r="I528" s="1">
        <v>45007.032638888886</v>
      </c>
      <c r="J528" s="1">
        <v>45006.98541666667</v>
      </c>
      <c r="K528" s="1">
        <v>45007.031944444447</v>
      </c>
      <c r="L528" t="s">
        <v>16</v>
      </c>
      <c r="M528" t="s">
        <v>20</v>
      </c>
    </row>
    <row r="529" spans="1:13" x14ac:dyDescent="0.3">
      <c r="A529" t="s">
        <v>557</v>
      </c>
      <c r="B529" t="s">
        <v>40</v>
      </c>
      <c r="C529" t="s">
        <v>15</v>
      </c>
      <c r="D529">
        <v>3.58</v>
      </c>
      <c r="E529">
        <v>28</v>
      </c>
      <c r="F529">
        <v>7.02</v>
      </c>
      <c r="G529">
        <v>88</v>
      </c>
      <c r="H529" s="1">
        <v>45006.993055555555</v>
      </c>
      <c r="I529" s="1">
        <v>45007.012499999997</v>
      </c>
      <c r="L529" t="s">
        <v>24</v>
      </c>
      <c r="M529" t="s">
        <v>20</v>
      </c>
    </row>
    <row r="530" spans="1:13" x14ac:dyDescent="0.3">
      <c r="A530" t="s">
        <v>558</v>
      </c>
      <c r="B530" t="s">
        <v>22</v>
      </c>
      <c r="C530" t="s">
        <v>36</v>
      </c>
      <c r="D530">
        <v>4.91</v>
      </c>
      <c r="E530">
        <v>102</v>
      </c>
      <c r="F530">
        <v>9.4700000000000006</v>
      </c>
      <c r="G530">
        <v>88</v>
      </c>
      <c r="H530" s="1">
        <v>45007</v>
      </c>
      <c r="I530" s="1">
        <v>45007.070833333331</v>
      </c>
      <c r="L530" t="s">
        <v>24</v>
      </c>
      <c r="M530" t="s">
        <v>20</v>
      </c>
    </row>
    <row r="531" spans="1:13" x14ac:dyDescent="0.3">
      <c r="A531" t="s">
        <v>559</v>
      </c>
      <c r="B531" t="s">
        <v>22</v>
      </c>
      <c r="C531" t="s">
        <v>32</v>
      </c>
      <c r="D531">
        <v>1.4</v>
      </c>
      <c r="E531">
        <v>87</v>
      </c>
      <c r="F531">
        <v>9.93</v>
      </c>
      <c r="G531">
        <v>87</v>
      </c>
      <c r="H531" s="1">
        <v>45007.006944444445</v>
      </c>
      <c r="I531" s="1">
        <v>45007.067361111112</v>
      </c>
      <c r="J531" s="1">
        <v>45007.027777777781</v>
      </c>
      <c r="K531" s="1">
        <v>45007.088194444441</v>
      </c>
      <c r="L531" t="s">
        <v>19</v>
      </c>
      <c r="M531" t="s">
        <v>20</v>
      </c>
    </row>
    <row r="532" spans="1:13" x14ac:dyDescent="0.3">
      <c r="A532" t="s">
        <v>560</v>
      </c>
      <c r="B532" t="s">
        <v>14</v>
      </c>
      <c r="C532" t="s">
        <v>15</v>
      </c>
      <c r="D532">
        <v>1.21</v>
      </c>
      <c r="E532">
        <v>90</v>
      </c>
      <c r="F532">
        <v>8.86</v>
      </c>
      <c r="G532">
        <v>95</v>
      </c>
      <c r="H532" s="1">
        <v>45007.013888888891</v>
      </c>
      <c r="I532" s="1">
        <v>45007.076388888891</v>
      </c>
      <c r="J532" s="1">
        <v>45007.010416666664</v>
      </c>
      <c r="K532" s="1">
        <v>45007.072916666664</v>
      </c>
      <c r="L532" t="s">
        <v>16</v>
      </c>
      <c r="M532" t="s">
        <v>20</v>
      </c>
    </row>
    <row r="533" spans="1:13" x14ac:dyDescent="0.3">
      <c r="A533" t="s">
        <v>561</v>
      </c>
      <c r="B533" t="s">
        <v>40</v>
      </c>
      <c r="C533" t="s">
        <v>23</v>
      </c>
      <c r="D533">
        <v>4.5</v>
      </c>
      <c r="E533">
        <v>106</v>
      </c>
      <c r="F533">
        <v>4.7300000000000004</v>
      </c>
      <c r="G533">
        <v>84</v>
      </c>
      <c r="H533" s="1">
        <v>45007.020833333336</v>
      </c>
      <c r="I533" s="1">
        <v>45007.094444444447</v>
      </c>
      <c r="J533" s="1">
        <v>45007.023611111108</v>
      </c>
      <c r="K533" s="1">
        <v>45007.097222222219</v>
      </c>
      <c r="L533" t="s">
        <v>16</v>
      </c>
      <c r="M533" t="s">
        <v>28</v>
      </c>
    </row>
    <row r="534" spans="1:13" x14ac:dyDescent="0.3">
      <c r="A534" t="s">
        <v>562</v>
      </c>
      <c r="B534" t="s">
        <v>14</v>
      </c>
      <c r="C534" t="s">
        <v>36</v>
      </c>
      <c r="D534">
        <v>1.54</v>
      </c>
      <c r="E534">
        <v>112</v>
      </c>
      <c r="F534">
        <v>6.86</v>
      </c>
      <c r="G534">
        <v>93</v>
      </c>
      <c r="H534" s="1">
        <v>45007.027777777781</v>
      </c>
      <c r="I534" s="1">
        <v>45007.105555555558</v>
      </c>
      <c r="J534" s="1">
        <v>45007.030555555553</v>
      </c>
      <c r="K534" s="1">
        <v>45007.10833333333</v>
      </c>
      <c r="L534" t="s">
        <v>16</v>
      </c>
      <c r="M534" t="s">
        <v>28</v>
      </c>
    </row>
    <row r="535" spans="1:13" x14ac:dyDescent="0.3">
      <c r="A535" t="s">
        <v>563</v>
      </c>
      <c r="B535" t="s">
        <v>30</v>
      </c>
      <c r="C535" t="s">
        <v>27</v>
      </c>
      <c r="D535">
        <v>3.14</v>
      </c>
      <c r="E535">
        <v>61</v>
      </c>
      <c r="F535">
        <v>3.66</v>
      </c>
      <c r="G535">
        <v>88</v>
      </c>
      <c r="H535" s="1">
        <v>45007.034722222219</v>
      </c>
      <c r="I535" s="1">
        <v>45007.07708333333</v>
      </c>
      <c r="J535" s="1">
        <v>45007.035416666666</v>
      </c>
      <c r="K535" s="1">
        <v>45007.077777777777</v>
      </c>
      <c r="L535" t="s">
        <v>16</v>
      </c>
      <c r="M535" t="s">
        <v>28</v>
      </c>
    </row>
    <row r="536" spans="1:13" x14ac:dyDescent="0.3">
      <c r="A536" t="s">
        <v>564</v>
      </c>
      <c r="B536" t="s">
        <v>30</v>
      </c>
      <c r="C536" t="s">
        <v>36</v>
      </c>
      <c r="D536">
        <v>4.9000000000000004</v>
      </c>
      <c r="E536">
        <v>45</v>
      </c>
      <c r="F536">
        <v>6.96</v>
      </c>
      <c r="G536">
        <v>90</v>
      </c>
      <c r="H536" s="1">
        <v>45007.041666666664</v>
      </c>
      <c r="I536" s="1">
        <v>45007.072916666664</v>
      </c>
      <c r="J536" s="1">
        <v>45007.038888888892</v>
      </c>
      <c r="K536" s="1">
        <v>45007.070138888892</v>
      </c>
      <c r="L536" t="s">
        <v>16</v>
      </c>
      <c r="M536" t="s">
        <v>20</v>
      </c>
    </row>
    <row r="537" spans="1:13" x14ac:dyDescent="0.3">
      <c r="A537" t="s">
        <v>565</v>
      </c>
      <c r="B537" t="s">
        <v>14</v>
      </c>
      <c r="C537" t="s">
        <v>15</v>
      </c>
      <c r="D537">
        <v>2.3199999999999998</v>
      </c>
      <c r="E537">
        <v>100</v>
      </c>
      <c r="F537">
        <v>6.97</v>
      </c>
      <c r="G537">
        <v>81</v>
      </c>
      <c r="H537" s="1">
        <v>45007.048611111109</v>
      </c>
      <c r="I537" s="1">
        <v>45007.118055555555</v>
      </c>
      <c r="J537" s="1">
        <v>45007.045138888891</v>
      </c>
      <c r="K537" s="1">
        <v>45007.114583333336</v>
      </c>
      <c r="L537" t="s">
        <v>16</v>
      </c>
      <c r="M537" t="s">
        <v>20</v>
      </c>
    </row>
    <row r="538" spans="1:13" x14ac:dyDescent="0.3">
      <c r="A538" t="s">
        <v>566</v>
      </c>
      <c r="B538" t="s">
        <v>30</v>
      </c>
      <c r="C538" t="s">
        <v>27</v>
      </c>
      <c r="D538">
        <v>3.05</v>
      </c>
      <c r="E538">
        <v>48</v>
      </c>
      <c r="F538">
        <v>13.96</v>
      </c>
      <c r="G538">
        <v>90</v>
      </c>
      <c r="H538" s="1">
        <v>45007.055555555555</v>
      </c>
      <c r="I538" s="1">
        <v>45007.088888888888</v>
      </c>
      <c r="J538" s="1">
        <v>45007.052083333336</v>
      </c>
      <c r="K538" s="1">
        <v>45007.085416666669</v>
      </c>
      <c r="L538" t="s">
        <v>16</v>
      </c>
      <c r="M538" t="s">
        <v>20</v>
      </c>
    </row>
    <row r="539" spans="1:13" x14ac:dyDescent="0.3">
      <c r="A539" t="s">
        <v>567</v>
      </c>
      <c r="B539" t="s">
        <v>14</v>
      </c>
      <c r="C539" t="s">
        <v>27</v>
      </c>
      <c r="D539">
        <v>1.1200000000000001</v>
      </c>
      <c r="E539">
        <v>75</v>
      </c>
      <c r="F539">
        <v>2.16</v>
      </c>
      <c r="G539">
        <v>86</v>
      </c>
      <c r="H539" s="1">
        <v>45007.0625</v>
      </c>
      <c r="I539" s="1">
        <v>45007.114583333336</v>
      </c>
      <c r="J539" s="1">
        <v>45007.06527777778</v>
      </c>
      <c r="K539" s="1">
        <v>45007.117361111108</v>
      </c>
      <c r="L539" t="s">
        <v>16</v>
      </c>
      <c r="M539" t="s">
        <v>28</v>
      </c>
    </row>
    <row r="540" spans="1:13" x14ac:dyDescent="0.3">
      <c r="A540" t="s">
        <v>568</v>
      </c>
      <c r="B540" t="s">
        <v>14</v>
      </c>
      <c r="C540" t="s">
        <v>36</v>
      </c>
      <c r="D540">
        <v>2.94</v>
      </c>
      <c r="E540">
        <v>116</v>
      </c>
      <c r="F540">
        <v>10.59</v>
      </c>
      <c r="G540">
        <v>96</v>
      </c>
      <c r="H540" s="1">
        <v>45007.069444444445</v>
      </c>
      <c r="I540" s="1">
        <v>45007.15</v>
      </c>
      <c r="J540" s="1">
        <v>45007.070138888892</v>
      </c>
      <c r="K540" s="1">
        <v>45007.150694444441</v>
      </c>
      <c r="L540" t="s">
        <v>16</v>
      </c>
      <c r="M540" t="s">
        <v>17</v>
      </c>
    </row>
    <row r="541" spans="1:13" x14ac:dyDescent="0.3">
      <c r="A541" t="s">
        <v>569</v>
      </c>
      <c r="B541" t="s">
        <v>34</v>
      </c>
      <c r="C541" t="s">
        <v>27</v>
      </c>
      <c r="D541">
        <v>3.88</v>
      </c>
      <c r="E541">
        <v>60</v>
      </c>
      <c r="F541">
        <v>3.62</v>
      </c>
      <c r="G541">
        <v>95</v>
      </c>
      <c r="H541" s="1">
        <v>45007.076388888891</v>
      </c>
      <c r="I541" s="1">
        <v>45007.118055555555</v>
      </c>
      <c r="J541" s="1">
        <v>45007.079861111109</v>
      </c>
      <c r="K541" s="1">
        <v>45007.121527777781</v>
      </c>
      <c r="L541" t="s">
        <v>16</v>
      </c>
      <c r="M541" t="s">
        <v>28</v>
      </c>
    </row>
    <row r="542" spans="1:13" x14ac:dyDescent="0.3">
      <c r="A542" t="s">
        <v>570</v>
      </c>
      <c r="B542" t="s">
        <v>14</v>
      </c>
      <c r="C542" t="s">
        <v>23</v>
      </c>
      <c r="D542">
        <v>1.81</v>
      </c>
      <c r="E542">
        <v>53</v>
      </c>
      <c r="F542">
        <v>4.45</v>
      </c>
      <c r="G542">
        <v>85</v>
      </c>
      <c r="H542" s="1">
        <v>45007.083333333336</v>
      </c>
      <c r="I542" s="1">
        <v>45007.120138888888</v>
      </c>
      <c r="J542" s="1">
        <v>45007.085416666669</v>
      </c>
      <c r="K542" s="1">
        <v>45007.12222222222</v>
      </c>
      <c r="L542" t="s">
        <v>16</v>
      </c>
      <c r="M542" t="s">
        <v>28</v>
      </c>
    </row>
    <row r="543" spans="1:13" x14ac:dyDescent="0.3">
      <c r="A543" t="s">
        <v>571</v>
      </c>
      <c r="B543" t="s">
        <v>40</v>
      </c>
      <c r="C543" t="s">
        <v>36</v>
      </c>
      <c r="D543">
        <v>3.57</v>
      </c>
      <c r="E543">
        <v>47</v>
      </c>
      <c r="F543">
        <v>13.17</v>
      </c>
      <c r="G543">
        <v>89</v>
      </c>
      <c r="H543" s="1">
        <v>45007.090277777781</v>
      </c>
      <c r="I543" s="1">
        <v>45007.122916666667</v>
      </c>
      <c r="J543" s="1">
        <v>45007.091666666667</v>
      </c>
      <c r="K543" s="1">
        <v>45007.124305555553</v>
      </c>
      <c r="L543" t="s">
        <v>16</v>
      </c>
      <c r="M543" t="s">
        <v>17</v>
      </c>
    </row>
    <row r="544" spans="1:13" x14ac:dyDescent="0.3">
      <c r="A544" t="s">
        <v>572</v>
      </c>
      <c r="B544" t="s">
        <v>34</v>
      </c>
      <c r="C544" t="s">
        <v>27</v>
      </c>
      <c r="D544">
        <v>2.12</v>
      </c>
      <c r="E544">
        <v>87</v>
      </c>
      <c r="F544">
        <v>3.37</v>
      </c>
      <c r="G544">
        <v>89</v>
      </c>
      <c r="H544" s="1">
        <v>45007.097222222219</v>
      </c>
      <c r="I544" s="1">
        <v>45007.157638888886</v>
      </c>
      <c r="J544" s="1">
        <v>45007.1</v>
      </c>
      <c r="K544" s="1">
        <v>45007.160416666666</v>
      </c>
      <c r="L544" t="s">
        <v>16</v>
      </c>
      <c r="M544" t="s">
        <v>28</v>
      </c>
    </row>
    <row r="545" spans="1:13" x14ac:dyDescent="0.3">
      <c r="A545" t="s">
        <v>573</v>
      </c>
      <c r="B545" t="s">
        <v>30</v>
      </c>
      <c r="C545" t="s">
        <v>27</v>
      </c>
      <c r="D545">
        <v>1.3</v>
      </c>
      <c r="E545">
        <v>89</v>
      </c>
      <c r="F545">
        <v>5.76</v>
      </c>
      <c r="G545">
        <v>89</v>
      </c>
      <c r="H545" s="1">
        <v>45007.104166666664</v>
      </c>
      <c r="I545" s="1">
        <v>45007.165972222225</v>
      </c>
      <c r="J545" s="1">
        <v>45007.104861111111</v>
      </c>
      <c r="K545" s="1">
        <v>45007.166666666664</v>
      </c>
      <c r="L545" t="s">
        <v>16</v>
      </c>
      <c r="M545" t="s">
        <v>28</v>
      </c>
    </row>
    <row r="546" spans="1:13" x14ac:dyDescent="0.3">
      <c r="A546" t="s">
        <v>574</v>
      </c>
      <c r="B546" t="s">
        <v>34</v>
      </c>
      <c r="C546" t="s">
        <v>27</v>
      </c>
      <c r="D546">
        <v>4.1900000000000004</v>
      </c>
      <c r="E546">
        <v>50</v>
      </c>
      <c r="F546">
        <v>6.67</v>
      </c>
      <c r="G546">
        <v>89</v>
      </c>
      <c r="H546" s="1">
        <v>45007.111111111109</v>
      </c>
      <c r="I546" s="1">
        <v>45007.145833333336</v>
      </c>
      <c r="J546" s="1">
        <v>45007.11041666667</v>
      </c>
      <c r="K546" s="1">
        <v>45007.145138888889</v>
      </c>
      <c r="L546" t="s">
        <v>16</v>
      </c>
      <c r="M546" t="s">
        <v>20</v>
      </c>
    </row>
    <row r="547" spans="1:13" x14ac:dyDescent="0.3">
      <c r="A547" t="s">
        <v>575</v>
      </c>
      <c r="B547" t="s">
        <v>22</v>
      </c>
      <c r="C547" t="s">
        <v>27</v>
      </c>
      <c r="D547">
        <v>2.77</v>
      </c>
      <c r="E547">
        <v>95</v>
      </c>
      <c r="F547">
        <v>7.55</v>
      </c>
      <c r="G547">
        <v>81</v>
      </c>
      <c r="H547" s="1">
        <v>45007.118055555555</v>
      </c>
      <c r="I547" s="1">
        <v>45007.184027777781</v>
      </c>
      <c r="J547" s="1">
        <v>45007.121527777781</v>
      </c>
      <c r="K547" s="1">
        <v>45007.1875</v>
      </c>
      <c r="L547" t="s">
        <v>16</v>
      </c>
      <c r="M547" t="s">
        <v>17</v>
      </c>
    </row>
    <row r="548" spans="1:13" x14ac:dyDescent="0.3">
      <c r="A548" t="s">
        <v>576</v>
      </c>
      <c r="B548" t="s">
        <v>22</v>
      </c>
      <c r="C548" t="s">
        <v>27</v>
      </c>
      <c r="D548">
        <v>2.75</v>
      </c>
      <c r="E548">
        <v>100</v>
      </c>
      <c r="F548">
        <v>6.39</v>
      </c>
      <c r="G548">
        <v>91</v>
      </c>
      <c r="H548" s="1">
        <v>45007.125</v>
      </c>
      <c r="I548" s="1">
        <v>45007.194444444445</v>
      </c>
      <c r="J548" s="1">
        <v>45007.126388888886</v>
      </c>
      <c r="K548" s="1">
        <v>45007.195833333331</v>
      </c>
      <c r="L548" t="s">
        <v>16</v>
      </c>
      <c r="M548" t="s">
        <v>28</v>
      </c>
    </row>
    <row r="549" spans="1:13" x14ac:dyDescent="0.3">
      <c r="A549" t="s">
        <v>577</v>
      </c>
      <c r="B549" t="s">
        <v>22</v>
      </c>
      <c r="C549" t="s">
        <v>23</v>
      </c>
      <c r="D549">
        <v>2.81</v>
      </c>
      <c r="E549">
        <v>21</v>
      </c>
      <c r="F549">
        <v>5.14</v>
      </c>
      <c r="G549">
        <v>91</v>
      </c>
      <c r="H549" s="1">
        <v>45007.131944444445</v>
      </c>
      <c r="I549" s="1">
        <v>45007.146527777775</v>
      </c>
      <c r="J549" s="1">
        <v>45007.131944444445</v>
      </c>
      <c r="K549" s="1">
        <v>45007.146527777775</v>
      </c>
      <c r="L549" t="s">
        <v>16</v>
      </c>
      <c r="M549" t="s">
        <v>28</v>
      </c>
    </row>
    <row r="550" spans="1:13" x14ac:dyDescent="0.3">
      <c r="A550" t="s">
        <v>578</v>
      </c>
      <c r="B550" t="s">
        <v>22</v>
      </c>
      <c r="C550" t="s">
        <v>23</v>
      </c>
      <c r="D550">
        <v>1.61</v>
      </c>
      <c r="E550">
        <v>61</v>
      </c>
      <c r="F550">
        <v>14.7</v>
      </c>
      <c r="G550">
        <v>88</v>
      </c>
      <c r="H550" s="1">
        <v>45007.138888888891</v>
      </c>
      <c r="I550" s="1">
        <v>45007.181250000001</v>
      </c>
      <c r="J550" s="1">
        <v>45007.135416666664</v>
      </c>
      <c r="K550" s="1">
        <v>45007.177777777775</v>
      </c>
      <c r="L550" t="s">
        <v>16</v>
      </c>
      <c r="M550" t="s">
        <v>20</v>
      </c>
    </row>
    <row r="551" spans="1:13" x14ac:dyDescent="0.3">
      <c r="A551" t="s">
        <v>579</v>
      </c>
      <c r="B551" t="s">
        <v>30</v>
      </c>
      <c r="C551" t="s">
        <v>27</v>
      </c>
      <c r="D551">
        <v>2.98</v>
      </c>
      <c r="E551">
        <v>31</v>
      </c>
      <c r="F551">
        <v>6.28</v>
      </c>
      <c r="G551">
        <v>92</v>
      </c>
      <c r="H551" s="1">
        <v>45007.145833333336</v>
      </c>
      <c r="I551" s="1">
        <v>45007.167361111111</v>
      </c>
      <c r="J551" s="1">
        <v>45007.149305555555</v>
      </c>
      <c r="K551" s="1">
        <v>45007.17083333333</v>
      </c>
      <c r="L551" t="s">
        <v>16</v>
      </c>
      <c r="M551" t="s">
        <v>28</v>
      </c>
    </row>
    <row r="552" spans="1:13" x14ac:dyDescent="0.3">
      <c r="A552" t="s">
        <v>580</v>
      </c>
      <c r="B552" t="s">
        <v>14</v>
      </c>
      <c r="C552" t="s">
        <v>36</v>
      </c>
      <c r="D552">
        <v>3.36</v>
      </c>
      <c r="E552">
        <v>85</v>
      </c>
      <c r="F552">
        <v>5.05</v>
      </c>
      <c r="G552">
        <v>92</v>
      </c>
      <c r="H552" s="1">
        <v>45007.152777777781</v>
      </c>
      <c r="I552" s="1">
        <v>45007.211805555555</v>
      </c>
      <c r="J552" s="1">
        <v>45007.152083333334</v>
      </c>
      <c r="K552" s="1">
        <v>45007.211111111108</v>
      </c>
      <c r="L552" t="s">
        <v>16</v>
      </c>
      <c r="M552" t="s">
        <v>20</v>
      </c>
    </row>
    <row r="553" spans="1:13" x14ac:dyDescent="0.3">
      <c r="A553" t="s">
        <v>581</v>
      </c>
      <c r="B553" t="s">
        <v>14</v>
      </c>
      <c r="C553" t="s">
        <v>23</v>
      </c>
      <c r="D553">
        <v>4.76</v>
      </c>
      <c r="E553">
        <v>68</v>
      </c>
      <c r="F553">
        <v>11.58</v>
      </c>
      <c r="G553">
        <v>86</v>
      </c>
      <c r="H553" s="1">
        <v>45007.159722222219</v>
      </c>
      <c r="I553" s="1">
        <v>45007.206944444442</v>
      </c>
      <c r="J553" s="1">
        <v>45007.161805555559</v>
      </c>
      <c r="K553" s="1">
        <v>45007.209027777775</v>
      </c>
      <c r="L553" t="s">
        <v>16</v>
      </c>
      <c r="M553" t="s">
        <v>17</v>
      </c>
    </row>
    <row r="554" spans="1:13" x14ac:dyDescent="0.3">
      <c r="A554" t="s">
        <v>582</v>
      </c>
      <c r="B554" t="s">
        <v>40</v>
      </c>
      <c r="C554" t="s">
        <v>27</v>
      </c>
      <c r="D554">
        <v>3.11</v>
      </c>
      <c r="E554">
        <v>63</v>
      </c>
      <c r="F554">
        <v>12.39</v>
      </c>
      <c r="G554">
        <v>83</v>
      </c>
      <c r="H554" s="1">
        <v>45007.166666666664</v>
      </c>
      <c r="I554" s="1">
        <v>45007.210416666669</v>
      </c>
      <c r="J554" s="1">
        <v>45007.166666666664</v>
      </c>
      <c r="K554" s="1">
        <v>45007.210416666669</v>
      </c>
      <c r="L554" t="s">
        <v>16</v>
      </c>
      <c r="M554" t="s">
        <v>17</v>
      </c>
    </row>
    <row r="555" spans="1:13" x14ac:dyDescent="0.3">
      <c r="A555" t="s">
        <v>583</v>
      </c>
      <c r="B555" t="s">
        <v>22</v>
      </c>
      <c r="C555" t="s">
        <v>32</v>
      </c>
      <c r="D555">
        <v>1.42</v>
      </c>
      <c r="E555">
        <v>93</v>
      </c>
      <c r="F555">
        <v>6.97</v>
      </c>
      <c r="G555">
        <v>96</v>
      </c>
      <c r="H555" s="1">
        <v>45007.173611111109</v>
      </c>
      <c r="I555" s="1">
        <v>45007.238194444442</v>
      </c>
      <c r="J555" s="1">
        <v>45007.175000000003</v>
      </c>
      <c r="K555" s="1">
        <v>45007.239583333336</v>
      </c>
      <c r="L555" t="s">
        <v>16</v>
      </c>
      <c r="M555" t="s">
        <v>28</v>
      </c>
    </row>
    <row r="556" spans="1:13" x14ac:dyDescent="0.3">
      <c r="A556" t="s">
        <v>584</v>
      </c>
      <c r="B556" t="s">
        <v>30</v>
      </c>
      <c r="C556" t="s">
        <v>23</v>
      </c>
      <c r="D556">
        <v>1.61</v>
      </c>
      <c r="E556">
        <v>37</v>
      </c>
      <c r="F556">
        <v>12.3</v>
      </c>
      <c r="G556">
        <v>95</v>
      </c>
      <c r="H556" s="1">
        <v>45007.180555555555</v>
      </c>
      <c r="I556" s="1">
        <v>45007.206250000003</v>
      </c>
      <c r="J556" s="1">
        <v>45007.1875</v>
      </c>
      <c r="K556" s="1">
        <v>45007.213194444441</v>
      </c>
      <c r="L556" t="s">
        <v>19</v>
      </c>
      <c r="M556" t="s">
        <v>20</v>
      </c>
    </row>
    <row r="557" spans="1:13" x14ac:dyDescent="0.3">
      <c r="A557" t="s">
        <v>585</v>
      </c>
      <c r="B557" t="s">
        <v>34</v>
      </c>
      <c r="C557" t="s">
        <v>23</v>
      </c>
      <c r="D557">
        <v>3.93</v>
      </c>
      <c r="E557">
        <v>36</v>
      </c>
      <c r="F557">
        <v>5.37</v>
      </c>
      <c r="G557">
        <v>98</v>
      </c>
      <c r="H557" s="1">
        <v>45007.1875</v>
      </c>
      <c r="I557" s="1">
        <v>45007.212500000001</v>
      </c>
      <c r="L557" t="s">
        <v>24</v>
      </c>
      <c r="M557" t="s">
        <v>20</v>
      </c>
    </row>
    <row r="558" spans="1:13" x14ac:dyDescent="0.3">
      <c r="A558" t="s">
        <v>586</v>
      </c>
      <c r="B558" t="s">
        <v>22</v>
      </c>
      <c r="C558" t="s">
        <v>36</v>
      </c>
      <c r="D558">
        <v>3.61</v>
      </c>
      <c r="E558">
        <v>44</v>
      </c>
      <c r="F558">
        <v>4.66</v>
      </c>
      <c r="G558">
        <v>98</v>
      </c>
      <c r="H558" s="1">
        <v>45007.194444444445</v>
      </c>
      <c r="I558" s="1">
        <v>45007.224999999999</v>
      </c>
      <c r="J558" s="1">
        <v>45007.194444444445</v>
      </c>
      <c r="K558" s="1">
        <v>45007.224999999999</v>
      </c>
      <c r="L558" t="s">
        <v>16</v>
      </c>
      <c r="M558" t="s">
        <v>28</v>
      </c>
    </row>
    <row r="559" spans="1:13" x14ac:dyDescent="0.3">
      <c r="A559" t="s">
        <v>587</v>
      </c>
      <c r="B559" t="s">
        <v>40</v>
      </c>
      <c r="C559" t="s">
        <v>36</v>
      </c>
      <c r="D559">
        <v>4.07</v>
      </c>
      <c r="E559">
        <v>56</v>
      </c>
      <c r="F559">
        <v>8.89</v>
      </c>
      <c r="G559">
        <v>87</v>
      </c>
      <c r="H559" s="1">
        <v>45007.201388888891</v>
      </c>
      <c r="I559" s="1">
        <v>45007.240277777775</v>
      </c>
      <c r="J559" s="1">
        <v>45007.20416666667</v>
      </c>
      <c r="K559" s="1">
        <v>45007.243055555555</v>
      </c>
      <c r="L559" t="s">
        <v>16</v>
      </c>
      <c r="M559" t="s">
        <v>17</v>
      </c>
    </row>
    <row r="560" spans="1:13" x14ac:dyDescent="0.3">
      <c r="A560" t="s">
        <v>588</v>
      </c>
      <c r="B560" t="s">
        <v>30</v>
      </c>
      <c r="C560" t="s">
        <v>27</v>
      </c>
      <c r="D560">
        <v>1.78</v>
      </c>
      <c r="E560">
        <v>114</v>
      </c>
      <c r="F560">
        <v>9.67</v>
      </c>
      <c r="G560">
        <v>88</v>
      </c>
      <c r="H560" s="1">
        <v>45007.208333333336</v>
      </c>
      <c r="I560" s="1">
        <v>45007.287499999999</v>
      </c>
      <c r="J560" s="1">
        <v>45007.209027777775</v>
      </c>
      <c r="K560" s="1">
        <v>45007.288194444445</v>
      </c>
      <c r="L560" t="s">
        <v>16</v>
      </c>
      <c r="M560" t="s">
        <v>17</v>
      </c>
    </row>
    <row r="561" spans="1:13" x14ac:dyDescent="0.3">
      <c r="A561" t="s">
        <v>589</v>
      </c>
      <c r="B561" t="s">
        <v>14</v>
      </c>
      <c r="C561" t="s">
        <v>15</v>
      </c>
      <c r="D561">
        <v>2.66</v>
      </c>
      <c r="E561">
        <v>79</v>
      </c>
      <c r="F561">
        <v>12.1</v>
      </c>
      <c r="G561">
        <v>82</v>
      </c>
      <c r="H561" s="1">
        <v>45007.215277777781</v>
      </c>
      <c r="I561" s="1">
        <v>45007.270138888889</v>
      </c>
      <c r="J561" s="1">
        <v>45007.229166666664</v>
      </c>
      <c r="K561" s="1">
        <v>45007.28402777778</v>
      </c>
      <c r="L561" t="s">
        <v>19</v>
      </c>
      <c r="M561" t="s">
        <v>20</v>
      </c>
    </row>
    <row r="562" spans="1:13" x14ac:dyDescent="0.3">
      <c r="A562" t="s">
        <v>590</v>
      </c>
      <c r="B562" t="s">
        <v>22</v>
      </c>
      <c r="C562" t="s">
        <v>32</v>
      </c>
      <c r="D562">
        <v>1.65</v>
      </c>
      <c r="E562">
        <v>44</v>
      </c>
      <c r="F562">
        <v>8.3000000000000007</v>
      </c>
      <c r="G562">
        <v>88</v>
      </c>
      <c r="H562" s="1">
        <v>45007.222222222219</v>
      </c>
      <c r="I562" s="1">
        <v>45007.25277777778</v>
      </c>
      <c r="J562" s="1">
        <v>45007.224305555559</v>
      </c>
      <c r="K562" s="1">
        <v>45007.254861111112</v>
      </c>
      <c r="L562" t="s">
        <v>16</v>
      </c>
      <c r="M562" t="s">
        <v>17</v>
      </c>
    </row>
    <row r="563" spans="1:13" x14ac:dyDescent="0.3">
      <c r="A563" t="s">
        <v>591</v>
      </c>
      <c r="B563" t="s">
        <v>34</v>
      </c>
      <c r="C563" t="s">
        <v>27</v>
      </c>
      <c r="D563">
        <v>3.38</v>
      </c>
      <c r="E563">
        <v>108</v>
      </c>
      <c r="F563">
        <v>10.49</v>
      </c>
      <c r="G563">
        <v>91</v>
      </c>
      <c r="H563" s="1">
        <v>45007.229166666664</v>
      </c>
      <c r="I563" s="1">
        <v>45007.304166666669</v>
      </c>
      <c r="J563" s="1">
        <v>45007.229861111111</v>
      </c>
      <c r="K563" s="1">
        <v>45007.304861111108</v>
      </c>
      <c r="L563" t="s">
        <v>16</v>
      </c>
      <c r="M563" t="s">
        <v>17</v>
      </c>
    </row>
    <row r="564" spans="1:13" x14ac:dyDescent="0.3">
      <c r="A564" t="s">
        <v>592</v>
      </c>
      <c r="B564" t="s">
        <v>34</v>
      </c>
      <c r="C564" t="s">
        <v>32</v>
      </c>
      <c r="D564">
        <v>1.36</v>
      </c>
      <c r="E564">
        <v>80</v>
      </c>
      <c r="F564">
        <v>7.48</v>
      </c>
      <c r="G564">
        <v>81</v>
      </c>
      <c r="H564" s="1">
        <v>45007.236111111109</v>
      </c>
      <c r="I564" s="1">
        <v>45007.291666666664</v>
      </c>
      <c r="J564" s="1">
        <v>45007.238888888889</v>
      </c>
      <c r="K564" s="1">
        <v>45007.294444444444</v>
      </c>
      <c r="L564" t="s">
        <v>16</v>
      </c>
      <c r="M564" t="s">
        <v>17</v>
      </c>
    </row>
    <row r="565" spans="1:13" x14ac:dyDescent="0.3">
      <c r="A565" t="s">
        <v>593</v>
      </c>
      <c r="B565" t="s">
        <v>30</v>
      </c>
      <c r="C565" t="s">
        <v>15</v>
      </c>
      <c r="D565">
        <v>2.72</v>
      </c>
      <c r="E565">
        <v>112</v>
      </c>
      <c r="F565">
        <v>12.39</v>
      </c>
      <c r="G565">
        <v>85</v>
      </c>
      <c r="H565" s="1">
        <v>45007.243055555555</v>
      </c>
      <c r="I565" s="1">
        <v>45007.320833333331</v>
      </c>
      <c r="J565" s="1">
        <v>45007.240277777775</v>
      </c>
      <c r="K565" s="1">
        <v>45007.318055555559</v>
      </c>
      <c r="L565" t="s">
        <v>16</v>
      </c>
      <c r="M565" t="s">
        <v>20</v>
      </c>
    </row>
    <row r="566" spans="1:13" x14ac:dyDescent="0.3">
      <c r="A566" t="s">
        <v>594</v>
      </c>
      <c r="B566" t="s">
        <v>34</v>
      </c>
      <c r="C566" t="s">
        <v>32</v>
      </c>
      <c r="D566">
        <v>3.16</v>
      </c>
      <c r="E566">
        <v>110</v>
      </c>
      <c r="F566">
        <v>13.71</v>
      </c>
      <c r="G566">
        <v>95</v>
      </c>
      <c r="H566" s="1">
        <v>45007.25</v>
      </c>
      <c r="I566" s="1">
        <v>45007.326388888891</v>
      </c>
      <c r="J566" s="1">
        <v>45007.253472222219</v>
      </c>
      <c r="K566" s="1">
        <v>45007.329861111109</v>
      </c>
      <c r="L566" t="s">
        <v>16</v>
      </c>
      <c r="M566" t="s">
        <v>17</v>
      </c>
    </row>
    <row r="567" spans="1:13" x14ac:dyDescent="0.3">
      <c r="A567" t="s">
        <v>595</v>
      </c>
      <c r="B567" t="s">
        <v>30</v>
      </c>
      <c r="C567" t="s">
        <v>15</v>
      </c>
      <c r="D567">
        <v>2.91</v>
      </c>
      <c r="E567">
        <v>108</v>
      </c>
      <c r="F567">
        <v>6.09</v>
      </c>
      <c r="G567">
        <v>84</v>
      </c>
      <c r="H567" s="1">
        <v>45007.256944444445</v>
      </c>
      <c r="I567" s="1">
        <v>45007.331944444442</v>
      </c>
      <c r="J567" s="1">
        <v>45007.259027777778</v>
      </c>
      <c r="K567" s="1">
        <v>45007.334027777775</v>
      </c>
      <c r="L567" t="s">
        <v>16</v>
      </c>
      <c r="M567" t="s">
        <v>28</v>
      </c>
    </row>
    <row r="568" spans="1:13" x14ac:dyDescent="0.3">
      <c r="A568" t="s">
        <v>596</v>
      </c>
      <c r="B568" t="s">
        <v>14</v>
      </c>
      <c r="C568" t="s">
        <v>32</v>
      </c>
      <c r="D568">
        <v>3.42</v>
      </c>
      <c r="E568">
        <v>88</v>
      </c>
      <c r="F568">
        <v>7.35</v>
      </c>
      <c r="G568">
        <v>97</v>
      </c>
      <c r="H568" s="1">
        <v>45007.263888888891</v>
      </c>
      <c r="I568" s="1">
        <v>45007.324999999997</v>
      </c>
      <c r="J568" s="1">
        <v>45007.265972222223</v>
      </c>
      <c r="K568" s="1">
        <v>45007.32708333333</v>
      </c>
      <c r="L568" t="s">
        <v>16</v>
      </c>
      <c r="M568" t="s">
        <v>28</v>
      </c>
    </row>
    <row r="569" spans="1:13" x14ac:dyDescent="0.3">
      <c r="A569" t="s">
        <v>597</v>
      </c>
      <c r="B569" t="s">
        <v>40</v>
      </c>
      <c r="C569" t="s">
        <v>15</v>
      </c>
      <c r="D569">
        <v>2.7</v>
      </c>
      <c r="E569">
        <v>74</v>
      </c>
      <c r="F569">
        <v>2.4700000000000002</v>
      </c>
      <c r="G569">
        <v>95</v>
      </c>
      <c r="H569" s="1">
        <v>45007.270833333336</v>
      </c>
      <c r="I569" s="1">
        <v>45007.322222222225</v>
      </c>
      <c r="J569" s="1">
        <v>45007.291666666664</v>
      </c>
      <c r="K569" s="1">
        <v>45007.343055555553</v>
      </c>
      <c r="L569" t="s">
        <v>19</v>
      </c>
      <c r="M569" t="s">
        <v>20</v>
      </c>
    </row>
    <row r="570" spans="1:13" x14ac:dyDescent="0.3">
      <c r="A570" t="s">
        <v>598</v>
      </c>
      <c r="B570" t="s">
        <v>30</v>
      </c>
      <c r="C570" t="s">
        <v>15</v>
      </c>
      <c r="D570">
        <v>3.08</v>
      </c>
      <c r="E570">
        <v>52</v>
      </c>
      <c r="F570">
        <v>10.42</v>
      </c>
      <c r="G570">
        <v>96</v>
      </c>
      <c r="H570" s="1">
        <v>45007.277777777781</v>
      </c>
      <c r="I570" s="1">
        <v>45007.313888888886</v>
      </c>
      <c r="J570" s="1">
        <v>45007.277083333334</v>
      </c>
      <c r="K570" s="1">
        <v>45007.313194444447</v>
      </c>
      <c r="L570" t="s">
        <v>16</v>
      </c>
      <c r="M570" t="s">
        <v>20</v>
      </c>
    </row>
    <row r="571" spans="1:13" x14ac:dyDescent="0.3">
      <c r="A571" t="s">
        <v>599</v>
      </c>
      <c r="B571" t="s">
        <v>40</v>
      </c>
      <c r="C571" t="s">
        <v>15</v>
      </c>
      <c r="D571">
        <v>3.17</v>
      </c>
      <c r="E571">
        <v>67</v>
      </c>
      <c r="F571">
        <v>13.2</v>
      </c>
      <c r="G571">
        <v>91</v>
      </c>
      <c r="H571" s="1">
        <v>45007.284722222219</v>
      </c>
      <c r="I571" s="1">
        <v>45007.331250000003</v>
      </c>
      <c r="J571" s="1">
        <v>45007.283333333333</v>
      </c>
      <c r="K571" s="1">
        <v>45007.329861111109</v>
      </c>
      <c r="L571" t="s">
        <v>16</v>
      </c>
      <c r="M571" t="s">
        <v>20</v>
      </c>
    </row>
    <row r="572" spans="1:13" x14ac:dyDescent="0.3">
      <c r="A572" t="s">
        <v>600</v>
      </c>
      <c r="B572" t="s">
        <v>40</v>
      </c>
      <c r="C572" t="s">
        <v>36</v>
      </c>
      <c r="D572">
        <v>4.71</v>
      </c>
      <c r="E572">
        <v>85</v>
      </c>
      <c r="F572">
        <v>8.3699999999999992</v>
      </c>
      <c r="G572">
        <v>97</v>
      </c>
      <c r="H572" s="1">
        <v>45007.291666666664</v>
      </c>
      <c r="I572" s="1">
        <v>45007.350694444445</v>
      </c>
      <c r="L572" t="s">
        <v>24</v>
      </c>
      <c r="M572" t="s">
        <v>20</v>
      </c>
    </row>
    <row r="573" spans="1:13" x14ac:dyDescent="0.3">
      <c r="A573" t="s">
        <v>601</v>
      </c>
      <c r="B573" t="s">
        <v>22</v>
      </c>
      <c r="C573" t="s">
        <v>23</v>
      </c>
      <c r="D573">
        <v>1.44</v>
      </c>
      <c r="E573">
        <v>90</v>
      </c>
      <c r="F573">
        <v>11.44</v>
      </c>
      <c r="G573">
        <v>94</v>
      </c>
      <c r="H573" s="1">
        <v>45007.298611111109</v>
      </c>
      <c r="I573" s="1">
        <v>45007.361111111109</v>
      </c>
      <c r="J573" s="1">
        <v>45007.3</v>
      </c>
      <c r="K573" s="1">
        <v>45007.362500000003</v>
      </c>
      <c r="L573" t="s">
        <v>16</v>
      </c>
      <c r="M573" t="s">
        <v>17</v>
      </c>
    </row>
    <row r="574" spans="1:13" x14ac:dyDescent="0.3">
      <c r="A574" t="s">
        <v>602</v>
      </c>
      <c r="B574" t="s">
        <v>40</v>
      </c>
      <c r="C574" t="s">
        <v>27</v>
      </c>
      <c r="D574">
        <v>1.02</v>
      </c>
      <c r="E574">
        <v>70</v>
      </c>
      <c r="F574">
        <v>6.78</v>
      </c>
      <c r="G574">
        <v>86</v>
      </c>
      <c r="H574" s="1">
        <v>45007.305555555555</v>
      </c>
      <c r="I574" s="1">
        <v>45007.354166666664</v>
      </c>
      <c r="L574" t="s">
        <v>24</v>
      </c>
      <c r="M574" t="s">
        <v>20</v>
      </c>
    </row>
    <row r="575" spans="1:13" x14ac:dyDescent="0.3">
      <c r="A575" t="s">
        <v>603</v>
      </c>
      <c r="B575" t="s">
        <v>30</v>
      </c>
      <c r="C575" t="s">
        <v>32</v>
      </c>
      <c r="D575">
        <v>2.31</v>
      </c>
      <c r="E575">
        <v>23</v>
      </c>
      <c r="F575">
        <v>5.63</v>
      </c>
      <c r="G575">
        <v>98</v>
      </c>
      <c r="H575" s="1">
        <v>45007.3125</v>
      </c>
      <c r="I575" s="1">
        <v>45007.328472222223</v>
      </c>
      <c r="J575" s="1">
        <v>45007.311805555553</v>
      </c>
      <c r="K575" s="1">
        <v>45007.327777777777</v>
      </c>
      <c r="L575" t="s">
        <v>16</v>
      </c>
      <c r="M575" t="s">
        <v>20</v>
      </c>
    </row>
    <row r="576" spans="1:13" x14ac:dyDescent="0.3">
      <c r="A576" t="s">
        <v>604</v>
      </c>
      <c r="B576" t="s">
        <v>34</v>
      </c>
      <c r="C576" t="s">
        <v>23</v>
      </c>
      <c r="D576">
        <v>1.99</v>
      </c>
      <c r="E576">
        <v>120</v>
      </c>
      <c r="F576">
        <v>2.21</v>
      </c>
      <c r="G576">
        <v>93</v>
      </c>
      <c r="H576" s="1">
        <v>45007.319444444445</v>
      </c>
      <c r="I576" s="1">
        <v>45007.402777777781</v>
      </c>
      <c r="J576" s="1">
        <v>45007.337500000001</v>
      </c>
      <c r="K576" s="1">
        <v>45007.42083333333</v>
      </c>
      <c r="L576" t="s">
        <v>19</v>
      </c>
      <c r="M576" t="s">
        <v>20</v>
      </c>
    </row>
    <row r="577" spans="1:13" x14ac:dyDescent="0.3">
      <c r="A577" t="s">
        <v>605</v>
      </c>
      <c r="B577" t="s">
        <v>40</v>
      </c>
      <c r="C577" t="s">
        <v>27</v>
      </c>
      <c r="D577">
        <v>2.29</v>
      </c>
      <c r="E577">
        <v>65</v>
      </c>
      <c r="F577">
        <v>3.67</v>
      </c>
      <c r="G577">
        <v>87</v>
      </c>
      <c r="H577" s="1">
        <v>45007.326388888891</v>
      </c>
      <c r="I577" s="1">
        <v>45007.371527777781</v>
      </c>
      <c r="J577" s="1">
        <v>45007.327777777777</v>
      </c>
      <c r="K577" s="1">
        <v>45007.372916666667</v>
      </c>
      <c r="L577" t="s">
        <v>16</v>
      </c>
      <c r="M577" t="s">
        <v>28</v>
      </c>
    </row>
    <row r="578" spans="1:13" x14ac:dyDescent="0.3">
      <c r="A578" t="s">
        <v>606</v>
      </c>
      <c r="B578" t="s">
        <v>22</v>
      </c>
      <c r="C578" t="s">
        <v>36</v>
      </c>
      <c r="D578">
        <v>3.71</v>
      </c>
      <c r="E578">
        <v>99</v>
      </c>
      <c r="F578">
        <v>5.13</v>
      </c>
      <c r="G578">
        <v>90</v>
      </c>
      <c r="H578" s="1">
        <v>45007.333333333336</v>
      </c>
      <c r="I578" s="1">
        <v>45007.402083333334</v>
      </c>
      <c r="J578" s="1">
        <v>45007.347222222219</v>
      </c>
      <c r="K578" s="1">
        <v>45007.415972222225</v>
      </c>
      <c r="L578" t="s">
        <v>19</v>
      </c>
      <c r="M578" t="s">
        <v>20</v>
      </c>
    </row>
    <row r="579" spans="1:13" x14ac:dyDescent="0.3">
      <c r="A579" t="s">
        <v>607</v>
      </c>
      <c r="B579" t="s">
        <v>40</v>
      </c>
      <c r="C579" t="s">
        <v>27</v>
      </c>
      <c r="D579">
        <v>2.88</v>
      </c>
      <c r="E579">
        <v>84</v>
      </c>
      <c r="F579">
        <v>4.29</v>
      </c>
      <c r="G579">
        <v>90</v>
      </c>
      <c r="H579" s="1">
        <v>45007.340277777781</v>
      </c>
      <c r="I579" s="1">
        <v>45007.398611111108</v>
      </c>
      <c r="J579" s="1">
        <v>45007.336805555555</v>
      </c>
      <c r="K579" s="1">
        <v>45007.395138888889</v>
      </c>
      <c r="L579" t="s">
        <v>16</v>
      </c>
      <c r="M579" t="s">
        <v>20</v>
      </c>
    </row>
    <row r="580" spans="1:13" x14ac:dyDescent="0.3">
      <c r="A580" t="s">
        <v>608</v>
      </c>
      <c r="B580" t="s">
        <v>40</v>
      </c>
      <c r="C580" t="s">
        <v>36</v>
      </c>
      <c r="D580">
        <v>3.36</v>
      </c>
      <c r="E580">
        <v>94</v>
      </c>
      <c r="F580">
        <v>13.75</v>
      </c>
      <c r="G580">
        <v>86</v>
      </c>
      <c r="H580" s="1">
        <v>45007.347222222219</v>
      </c>
      <c r="I580" s="1">
        <v>45007.412499999999</v>
      </c>
      <c r="J580" s="1">
        <v>45007.348611111112</v>
      </c>
      <c r="K580" s="1">
        <v>45007.413888888892</v>
      </c>
      <c r="L580" t="s">
        <v>16</v>
      </c>
      <c r="M580" t="s">
        <v>17</v>
      </c>
    </row>
    <row r="581" spans="1:13" x14ac:dyDescent="0.3">
      <c r="A581" t="s">
        <v>609</v>
      </c>
      <c r="B581" t="s">
        <v>22</v>
      </c>
      <c r="C581" t="s">
        <v>32</v>
      </c>
      <c r="D581">
        <v>3.96</v>
      </c>
      <c r="E581">
        <v>28</v>
      </c>
      <c r="F581">
        <v>9.1300000000000008</v>
      </c>
      <c r="G581">
        <v>86</v>
      </c>
      <c r="H581" s="1">
        <v>45007.354166666664</v>
      </c>
      <c r="I581" s="1">
        <v>45007.373611111114</v>
      </c>
      <c r="J581" s="1">
        <v>45007.352083333331</v>
      </c>
      <c r="K581" s="1">
        <v>45007.371527777781</v>
      </c>
      <c r="L581" t="s">
        <v>16</v>
      </c>
      <c r="M581" t="s">
        <v>20</v>
      </c>
    </row>
    <row r="582" spans="1:13" x14ac:dyDescent="0.3">
      <c r="A582" t="s">
        <v>610</v>
      </c>
      <c r="B582" t="s">
        <v>14</v>
      </c>
      <c r="C582" t="s">
        <v>23</v>
      </c>
      <c r="D582">
        <v>3.37</v>
      </c>
      <c r="E582">
        <v>67</v>
      </c>
      <c r="F582">
        <v>11.24</v>
      </c>
      <c r="G582">
        <v>98</v>
      </c>
      <c r="H582" s="1">
        <v>45007.361111111109</v>
      </c>
      <c r="I582" s="1">
        <v>45007.407638888886</v>
      </c>
      <c r="J582" s="1">
        <v>45007.362500000003</v>
      </c>
      <c r="K582" s="1">
        <v>45007.40902777778</v>
      </c>
      <c r="L582" t="s">
        <v>16</v>
      </c>
      <c r="M582" t="s">
        <v>17</v>
      </c>
    </row>
    <row r="583" spans="1:13" x14ac:dyDescent="0.3">
      <c r="A583" t="s">
        <v>611</v>
      </c>
      <c r="B583" t="s">
        <v>40</v>
      </c>
      <c r="C583" t="s">
        <v>15</v>
      </c>
      <c r="D583">
        <v>2.67</v>
      </c>
      <c r="E583">
        <v>95</v>
      </c>
      <c r="F583">
        <v>6.41</v>
      </c>
      <c r="G583">
        <v>85</v>
      </c>
      <c r="H583" s="1">
        <v>45007.368055555555</v>
      </c>
      <c r="I583" s="1">
        <v>45007.434027777781</v>
      </c>
      <c r="J583" s="1">
        <v>45007.386111111111</v>
      </c>
      <c r="K583" s="1">
        <v>45007.45208333333</v>
      </c>
      <c r="L583" t="s">
        <v>19</v>
      </c>
      <c r="M583" t="s">
        <v>20</v>
      </c>
    </row>
    <row r="584" spans="1:13" x14ac:dyDescent="0.3">
      <c r="A584" t="s">
        <v>612</v>
      </c>
      <c r="B584" t="s">
        <v>30</v>
      </c>
      <c r="C584" t="s">
        <v>32</v>
      </c>
      <c r="D584">
        <v>4.1500000000000004</v>
      </c>
      <c r="E584">
        <v>56</v>
      </c>
      <c r="F584">
        <v>13.47</v>
      </c>
      <c r="G584">
        <v>80</v>
      </c>
      <c r="H584" s="1">
        <v>45007.375</v>
      </c>
      <c r="I584" s="1">
        <v>45007.413888888892</v>
      </c>
      <c r="J584" s="1">
        <v>45007.372916666667</v>
      </c>
      <c r="K584" s="1">
        <v>45007.411805555559</v>
      </c>
      <c r="L584" t="s">
        <v>16</v>
      </c>
      <c r="M584" t="s">
        <v>20</v>
      </c>
    </row>
    <row r="585" spans="1:13" x14ac:dyDescent="0.3">
      <c r="A585" t="s">
        <v>613</v>
      </c>
      <c r="B585" t="s">
        <v>34</v>
      </c>
      <c r="C585" t="s">
        <v>23</v>
      </c>
      <c r="D585">
        <v>2.4</v>
      </c>
      <c r="E585">
        <v>32</v>
      </c>
      <c r="F585">
        <v>4.8600000000000003</v>
      </c>
      <c r="G585">
        <v>93</v>
      </c>
      <c r="H585" s="1">
        <v>45007.381944444445</v>
      </c>
      <c r="I585" s="1">
        <v>45007.404166666667</v>
      </c>
      <c r="L585" t="s">
        <v>24</v>
      </c>
      <c r="M585" t="s">
        <v>20</v>
      </c>
    </row>
    <row r="586" spans="1:13" x14ac:dyDescent="0.3">
      <c r="A586" t="s">
        <v>614</v>
      </c>
      <c r="B586" t="s">
        <v>34</v>
      </c>
      <c r="C586" t="s">
        <v>27</v>
      </c>
      <c r="D586">
        <v>4.47</v>
      </c>
      <c r="E586">
        <v>41</v>
      </c>
      <c r="F586">
        <v>5.15</v>
      </c>
      <c r="G586">
        <v>93</v>
      </c>
      <c r="H586" s="1">
        <v>45007.388888888891</v>
      </c>
      <c r="I586" s="1">
        <v>45007.417361111111</v>
      </c>
      <c r="L586" t="s">
        <v>24</v>
      </c>
      <c r="M586" t="s">
        <v>20</v>
      </c>
    </row>
    <row r="587" spans="1:13" x14ac:dyDescent="0.3">
      <c r="A587" t="s">
        <v>615</v>
      </c>
      <c r="B587" t="s">
        <v>14</v>
      </c>
      <c r="C587" t="s">
        <v>23</v>
      </c>
      <c r="D587">
        <v>4.59</v>
      </c>
      <c r="E587">
        <v>88</v>
      </c>
      <c r="F587">
        <v>10.050000000000001</v>
      </c>
      <c r="G587">
        <v>82</v>
      </c>
      <c r="H587" s="1">
        <v>45007.395833333336</v>
      </c>
      <c r="I587" s="1">
        <v>45007.456944444442</v>
      </c>
      <c r="J587" s="1">
        <v>45007.397222222222</v>
      </c>
      <c r="K587" s="1">
        <v>45007.458333333336</v>
      </c>
      <c r="L587" t="s">
        <v>16</v>
      </c>
      <c r="M587" t="s">
        <v>17</v>
      </c>
    </row>
    <row r="588" spans="1:13" x14ac:dyDescent="0.3">
      <c r="A588" t="s">
        <v>616</v>
      </c>
      <c r="B588" t="s">
        <v>34</v>
      </c>
      <c r="C588" t="s">
        <v>23</v>
      </c>
      <c r="D588">
        <v>4.67</v>
      </c>
      <c r="E588">
        <v>80</v>
      </c>
      <c r="F588">
        <v>6.9</v>
      </c>
      <c r="G588">
        <v>94</v>
      </c>
      <c r="H588" s="1">
        <v>45007.402777777781</v>
      </c>
      <c r="I588" s="1">
        <v>45007.458333333336</v>
      </c>
      <c r="J588" s="1">
        <v>45007.409722222219</v>
      </c>
      <c r="K588" s="1">
        <v>45007.465277777781</v>
      </c>
      <c r="L588" t="s">
        <v>19</v>
      </c>
      <c r="M588" t="s">
        <v>20</v>
      </c>
    </row>
    <row r="589" spans="1:13" x14ac:dyDescent="0.3">
      <c r="A589" t="s">
        <v>617</v>
      </c>
      <c r="B589" t="s">
        <v>22</v>
      </c>
      <c r="C589" t="s">
        <v>15</v>
      </c>
      <c r="D589">
        <v>3.57</v>
      </c>
      <c r="E589">
        <v>96</v>
      </c>
      <c r="F589">
        <v>13</v>
      </c>
      <c r="G589">
        <v>98</v>
      </c>
      <c r="H589" s="1">
        <v>45007.409722222219</v>
      </c>
      <c r="I589" s="1">
        <v>45007.476388888892</v>
      </c>
      <c r="L589" t="s">
        <v>24</v>
      </c>
      <c r="M589" t="s">
        <v>20</v>
      </c>
    </row>
    <row r="590" spans="1:13" x14ac:dyDescent="0.3">
      <c r="A590" t="s">
        <v>618</v>
      </c>
      <c r="B590" t="s">
        <v>40</v>
      </c>
      <c r="C590" t="s">
        <v>23</v>
      </c>
      <c r="D590">
        <v>4.0599999999999996</v>
      </c>
      <c r="E590">
        <v>54</v>
      </c>
      <c r="F590">
        <v>11.89</v>
      </c>
      <c r="G590">
        <v>88</v>
      </c>
      <c r="H590" s="1">
        <v>45007.416666666664</v>
      </c>
      <c r="I590" s="1">
        <v>45007.45416666667</v>
      </c>
      <c r="J590" s="1">
        <v>45007.415972222225</v>
      </c>
      <c r="K590" s="1">
        <v>45007.453472222223</v>
      </c>
      <c r="L590" t="s">
        <v>16</v>
      </c>
      <c r="M590" t="s">
        <v>20</v>
      </c>
    </row>
    <row r="591" spans="1:13" x14ac:dyDescent="0.3">
      <c r="A591" t="s">
        <v>619</v>
      </c>
      <c r="B591" t="s">
        <v>40</v>
      </c>
      <c r="C591" t="s">
        <v>27</v>
      </c>
      <c r="D591">
        <v>1.72</v>
      </c>
      <c r="E591">
        <v>110</v>
      </c>
      <c r="F591">
        <v>3.47</v>
      </c>
      <c r="G591">
        <v>82</v>
      </c>
      <c r="H591" s="1">
        <v>45007.423611111109</v>
      </c>
      <c r="I591" s="1">
        <v>45007.5</v>
      </c>
      <c r="J591" s="1">
        <v>45007.422222222223</v>
      </c>
      <c r="K591" s="1">
        <v>45007.498611111114</v>
      </c>
      <c r="L591" t="s">
        <v>16</v>
      </c>
      <c r="M591" t="s">
        <v>20</v>
      </c>
    </row>
    <row r="592" spans="1:13" x14ac:dyDescent="0.3">
      <c r="A592" t="s">
        <v>620</v>
      </c>
      <c r="B592" t="s">
        <v>34</v>
      </c>
      <c r="C592" t="s">
        <v>23</v>
      </c>
      <c r="D592">
        <v>1.8</v>
      </c>
      <c r="E592">
        <v>70</v>
      </c>
      <c r="F592">
        <v>13.68</v>
      </c>
      <c r="G592">
        <v>85</v>
      </c>
      <c r="H592" s="1">
        <v>45007.430555555555</v>
      </c>
      <c r="I592" s="1">
        <v>45007.479166666664</v>
      </c>
      <c r="L592" t="s">
        <v>24</v>
      </c>
      <c r="M592" t="s">
        <v>20</v>
      </c>
    </row>
    <row r="593" spans="1:13" x14ac:dyDescent="0.3">
      <c r="A593" t="s">
        <v>621</v>
      </c>
      <c r="B593" t="s">
        <v>14</v>
      </c>
      <c r="C593" t="s">
        <v>32</v>
      </c>
      <c r="D593">
        <v>2.89</v>
      </c>
      <c r="E593">
        <v>69</v>
      </c>
      <c r="F593">
        <v>6.62</v>
      </c>
      <c r="G593">
        <v>80</v>
      </c>
      <c r="H593" s="1">
        <v>45007.4375</v>
      </c>
      <c r="I593" s="1">
        <v>45007.48541666667</v>
      </c>
      <c r="L593" t="s">
        <v>24</v>
      </c>
      <c r="M593" t="s">
        <v>20</v>
      </c>
    </row>
    <row r="594" spans="1:13" x14ac:dyDescent="0.3">
      <c r="A594" t="s">
        <v>622</v>
      </c>
      <c r="B594" t="s">
        <v>40</v>
      </c>
      <c r="C594" t="s">
        <v>15</v>
      </c>
      <c r="D594">
        <v>3.12</v>
      </c>
      <c r="E594">
        <v>87</v>
      </c>
      <c r="F594">
        <v>6.22</v>
      </c>
      <c r="G594">
        <v>89</v>
      </c>
      <c r="H594" s="1">
        <v>45007.444444444445</v>
      </c>
      <c r="I594" s="1">
        <v>45007.504861111112</v>
      </c>
      <c r="J594" s="1">
        <v>45007.443055555559</v>
      </c>
      <c r="K594" s="1">
        <v>45007.503472222219</v>
      </c>
      <c r="L594" t="s">
        <v>16</v>
      </c>
      <c r="M594" t="s">
        <v>20</v>
      </c>
    </row>
    <row r="595" spans="1:13" x14ac:dyDescent="0.3">
      <c r="A595" t="s">
        <v>623</v>
      </c>
      <c r="B595" t="s">
        <v>34</v>
      </c>
      <c r="C595" t="s">
        <v>36</v>
      </c>
      <c r="D595">
        <v>2.2200000000000002</v>
      </c>
      <c r="E595">
        <v>84</v>
      </c>
      <c r="F595">
        <v>12.13</v>
      </c>
      <c r="G595">
        <v>86</v>
      </c>
      <c r="H595" s="1">
        <v>45007.451388888891</v>
      </c>
      <c r="I595" s="1">
        <v>45007.509722222225</v>
      </c>
      <c r="J595" s="1">
        <v>45007.449305555558</v>
      </c>
      <c r="K595" s="1">
        <v>45007.507638888892</v>
      </c>
      <c r="L595" t="s">
        <v>16</v>
      </c>
      <c r="M595" t="s">
        <v>20</v>
      </c>
    </row>
    <row r="596" spans="1:13" x14ac:dyDescent="0.3">
      <c r="A596" t="s">
        <v>624</v>
      </c>
      <c r="B596" t="s">
        <v>34</v>
      </c>
      <c r="C596" t="s">
        <v>27</v>
      </c>
      <c r="D596">
        <v>4.3</v>
      </c>
      <c r="E596">
        <v>26</v>
      </c>
      <c r="F596">
        <v>9.83</v>
      </c>
      <c r="G596">
        <v>83</v>
      </c>
      <c r="H596" s="1">
        <v>45007.458333333336</v>
      </c>
      <c r="I596" s="1">
        <v>45007.476388888892</v>
      </c>
      <c r="J596" s="1">
        <v>45007.456250000003</v>
      </c>
      <c r="K596" s="1">
        <v>45007.474305555559</v>
      </c>
      <c r="L596" t="s">
        <v>16</v>
      </c>
      <c r="M596" t="s">
        <v>20</v>
      </c>
    </row>
    <row r="597" spans="1:13" x14ac:dyDescent="0.3">
      <c r="A597" t="s">
        <v>625</v>
      </c>
      <c r="B597" t="s">
        <v>30</v>
      </c>
      <c r="C597" t="s">
        <v>23</v>
      </c>
      <c r="D597">
        <v>4.6900000000000004</v>
      </c>
      <c r="E597">
        <v>21</v>
      </c>
      <c r="F597">
        <v>3.03</v>
      </c>
      <c r="G597">
        <v>91</v>
      </c>
      <c r="H597" s="1">
        <v>45007.465277777781</v>
      </c>
      <c r="I597" s="1">
        <v>45007.479861111111</v>
      </c>
      <c r="J597" s="1">
        <v>45007.468055555553</v>
      </c>
      <c r="K597" s="1">
        <v>45007.482638888891</v>
      </c>
      <c r="L597" t="s">
        <v>16</v>
      </c>
      <c r="M597" t="s">
        <v>28</v>
      </c>
    </row>
    <row r="598" spans="1:13" x14ac:dyDescent="0.3">
      <c r="A598" t="s">
        <v>626</v>
      </c>
      <c r="B598" t="s">
        <v>22</v>
      </c>
      <c r="C598" t="s">
        <v>32</v>
      </c>
      <c r="D598">
        <v>3.02</v>
      </c>
      <c r="E598">
        <v>64</v>
      </c>
      <c r="F598">
        <v>11</v>
      </c>
      <c r="G598">
        <v>88</v>
      </c>
      <c r="H598" s="1">
        <v>45007.472222222219</v>
      </c>
      <c r="I598" s="1">
        <v>45007.51666666667</v>
      </c>
      <c r="J598" s="1">
        <v>45007.474999999999</v>
      </c>
      <c r="K598" s="1">
        <v>45007.519444444442</v>
      </c>
      <c r="L598" t="s">
        <v>16</v>
      </c>
      <c r="M598" t="s">
        <v>17</v>
      </c>
    </row>
    <row r="599" spans="1:13" x14ac:dyDescent="0.3">
      <c r="A599" t="s">
        <v>627</v>
      </c>
      <c r="B599" t="s">
        <v>22</v>
      </c>
      <c r="C599" t="s">
        <v>23</v>
      </c>
      <c r="D599">
        <v>4.33</v>
      </c>
      <c r="E599">
        <v>102</v>
      </c>
      <c r="F599">
        <v>2.4300000000000002</v>
      </c>
      <c r="G599">
        <v>93</v>
      </c>
      <c r="H599" s="1">
        <v>45007.479166666664</v>
      </c>
      <c r="I599" s="1">
        <v>45007.55</v>
      </c>
      <c r="J599" s="1">
        <v>45007.479861111111</v>
      </c>
      <c r="K599" s="1">
        <v>45007.550694444442</v>
      </c>
      <c r="L599" t="s">
        <v>16</v>
      </c>
      <c r="M599" t="s">
        <v>43</v>
      </c>
    </row>
    <row r="600" spans="1:13" x14ac:dyDescent="0.3">
      <c r="A600" t="s">
        <v>628</v>
      </c>
      <c r="B600" t="s">
        <v>22</v>
      </c>
      <c r="C600" t="s">
        <v>27</v>
      </c>
      <c r="D600">
        <v>4.49</v>
      </c>
      <c r="E600">
        <v>85</v>
      </c>
      <c r="F600">
        <v>7.05</v>
      </c>
      <c r="G600">
        <v>81</v>
      </c>
      <c r="H600" s="1">
        <v>45007.486111111109</v>
      </c>
      <c r="I600" s="1">
        <v>45007.545138888891</v>
      </c>
      <c r="J600" s="1">
        <v>45007.505555555559</v>
      </c>
      <c r="K600" s="1">
        <v>45007.564583333333</v>
      </c>
      <c r="L600" t="s">
        <v>19</v>
      </c>
      <c r="M600" t="s">
        <v>20</v>
      </c>
    </row>
    <row r="601" spans="1:13" x14ac:dyDescent="0.3">
      <c r="A601" t="s">
        <v>629</v>
      </c>
      <c r="B601" t="s">
        <v>14</v>
      </c>
      <c r="C601" t="s">
        <v>32</v>
      </c>
      <c r="D601">
        <v>4.72</v>
      </c>
      <c r="E601">
        <v>63</v>
      </c>
      <c r="F601">
        <v>10.66</v>
      </c>
      <c r="G601">
        <v>86</v>
      </c>
      <c r="H601" s="1">
        <v>45007.493055555555</v>
      </c>
      <c r="I601" s="1">
        <v>45007.536805555559</v>
      </c>
      <c r="J601" s="1">
        <v>45007.490972222222</v>
      </c>
      <c r="K601" s="1">
        <v>45007.534722222219</v>
      </c>
      <c r="L601" t="s">
        <v>16</v>
      </c>
      <c r="M601" t="s">
        <v>20</v>
      </c>
    </row>
    <row r="602" spans="1:13" x14ac:dyDescent="0.3">
      <c r="A602" t="s">
        <v>630</v>
      </c>
      <c r="B602" t="s">
        <v>14</v>
      </c>
      <c r="C602" t="s">
        <v>32</v>
      </c>
      <c r="D602">
        <v>3.89</v>
      </c>
      <c r="E602">
        <v>60</v>
      </c>
      <c r="F602">
        <v>12.62</v>
      </c>
      <c r="G602">
        <v>92</v>
      </c>
      <c r="H602" s="1">
        <v>45007.5</v>
      </c>
      <c r="I602" s="1">
        <v>45007.541666666664</v>
      </c>
      <c r="J602" s="1">
        <v>45007.496527777781</v>
      </c>
      <c r="K602" s="1">
        <v>45007.538194444445</v>
      </c>
      <c r="L602" t="s">
        <v>16</v>
      </c>
      <c r="M602" t="s">
        <v>20</v>
      </c>
    </row>
    <row r="603" spans="1:13" x14ac:dyDescent="0.3">
      <c r="A603" t="s">
        <v>631</v>
      </c>
      <c r="B603" t="s">
        <v>22</v>
      </c>
      <c r="C603" t="s">
        <v>27</v>
      </c>
      <c r="D603">
        <v>4.0199999999999996</v>
      </c>
      <c r="E603">
        <v>79</v>
      </c>
      <c r="F603">
        <v>7.93</v>
      </c>
      <c r="G603">
        <v>80</v>
      </c>
      <c r="H603" s="1">
        <v>45007.506944444445</v>
      </c>
      <c r="I603" s="1">
        <v>45007.561805555553</v>
      </c>
      <c r="J603" s="1">
        <v>45007.524305555555</v>
      </c>
      <c r="K603" s="1">
        <v>45007.57916666667</v>
      </c>
      <c r="L603" t="s">
        <v>19</v>
      </c>
      <c r="M603" t="s">
        <v>20</v>
      </c>
    </row>
    <row r="604" spans="1:13" x14ac:dyDescent="0.3">
      <c r="A604" t="s">
        <v>632</v>
      </c>
      <c r="B604" t="s">
        <v>40</v>
      </c>
      <c r="C604" t="s">
        <v>27</v>
      </c>
      <c r="D604">
        <v>3.24</v>
      </c>
      <c r="E604">
        <v>90</v>
      </c>
      <c r="F604">
        <v>7.32</v>
      </c>
      <c r="G604">
        <v>83</v>
      </c>
      <c r="H604" s="1">
        <v>45007.513888888891</v>
      </c>
      <c r="I604" s="1">
        <v>45007.576388888891</v>
      </c>
      <c r="J604" s="1">
        <v>45007.513888888891</v>
      </c>
      <c r="K604" s="1">
        <v>45007.576388888891</v>
      </c>
      <c r="L604" t="s">
        <v>16</v>
      </c>
      <c r="M604" t="s">
        <v>28</v>
      </c>
    </row>
    <row r="605" spans="1:13" x14ac:dyDescent="0.3">
      <c r="A605" t="s">
        <v>633</v>
      </c>
      <c r="B605" t="s">
        <v>30</v>
      </c>
      <c r="C605" t="s">
        <v>15</v>
      </c>
      <c r="D605">
        <v>4.66</v>
      </c>
      <c r="E605">
        <v>104</v>
      </c>
      <c r="F605">
        <v>4.99</v>
      </c>
      <c r="G605">
        <v>83</v>
      </c>
      <c r="H605" s="1">
        <v>45007.520833333336</v>
      </c>
      <c r="I605" s="1">
        <v>45007.593055555553</v>
      </c>
      <c r="J605" s="1">
        <v>45007.536805555559</v>
      </c>
      <c r="K605" s="1">
        <v>45007.609027777777</v>
      </c>
      <c r="L605" t="s">
        <v>19</v>
      </c>
      <c r="M605" t="s">
        <v>20</v>
      </c>
    </row>
    <row r="606" spans="1:13" x14ac:dyDescent="0.3">
      <c r="A606" t="s">
        <v>634</v>
      </c>
      <c r="B606" t="s">
        <v>22</v>
      </c>
      <c r="C606" t="s">
        <v>23</v>
      </c>
      <c r="D606">
        <v>1.43</v>
      </c>
      <c r="E606">
        <v>25</v>
      </c>
      <c r="F606">
        <v>9.27</v>
      </c>
      <c r="G606">
        <v>91</v>
      </c>
      <c r="H606" s="1">
        <v>45007.527777777781</v>
      </c>
      <c r="I606" s="1">
        <v>45007.545138888891</v>
      </c>
      <c r="J606" s="1">
        <v>45007.529861111114</v>
      </c>
      <c r="K606" s="1">
        <v>45007.547222222223</v>
      </c>
      <c r="L606" t="s">
        <v>16</v>
      </c>
      <c r="M606" t="s">
        <v>17</v>
      </c>
    </row>
    <row r="607" spans="1:13" x14ac:dyDescent="0.3">
      <c r="A607" t="s">
        <v>635</v>
      </c>
      <c r="B607" t="s">
        <v>14</v>
      </c>
      <c r="C607" t="s">
        <v>15</v>
      </c>
      <c r="D607">
        <v>3.62</v>
      </c>
      <c r="E607">
        <v>103</v>
      </c>
      <c r="F607">
        <v>11.35</v>
      </c>
      <c r="G607">
        <v>94</v>
      </c>
      <c r="H607" s="1">
        <v>45007.534722222219</v>
      </c>
      <c r="I607" s="1">
        <v>45007.606249999997</v>
      </c>
      <c r="J607" s="1">
        <v>45007.534722222219</v>
      </c>
      <c r="K607" s="1">
        <v>45007.606249999997</v>
      </c>
      <c r="L607" t="s">
        <v>16</v>
      </c>
      <c r="M607" t="s">
        <v>17</v>
      </c>
    </row>
    <row r="608" spans="1:13" x14ac:dyDescent="0.3">
      <c r="A608" t="s">
        <v>636</v>
      </c>
      <c r="B608" t="s">
        <v>40</v>
      </c>
      <c r="C608" t="s">
        <v>32</v>
      </c>
      <c r="D608">
        <v>4.97</v>
      </c>
      <c r="E608">
        <v>79</v>
      </c>
      <c r="F608">
        <v>13.93</v>
      </c>
      <c r="G608">
        <v>94</v>
      </c>
      <c r="H608" s="1">
        <v>45007.541666666664</v>
      </c>
      <c r="I608" s="1">
        <v>45007.59652777778</v>
      </c>
      <c r="L608" t="s">
        <v>24</v>
      </c>
      <c r="M608" t="s">
        <v>20</v>
      </c>
    </row>
    <row r="609" spans="1:13" x14ac:dyDescent="0.3">
      <c r="A609" t="s">
        <v>637</v>
      </c>
      <c r="B609" t="s">
        <v>40</v>
      </c>
      <c r="C609" t="s">
        <v>27</v>
      </c>
      <c r="D609">
        <v>3.36</v>
      </c>
      <c r="E609">
        <v>118</v>
      </c>
      <c r="F609">
        <v>7.23</v>
      </c>
      <c r="G609">
        <v>95</v>
      </c>
      <c r="H609" s="1">
        <v>45007.548611111109</v>
      </c>
      <c r="I609" s="1">
        <v>45007.630555555559</v>
      </c>
      <c r="L609" t="s">
        <v>24</v>
      </c>
      <c r="M609" t="s">
        <v>20</v>
      </c>
    </row>
    <row r="610" spans="1:13" x14ac:dyDescent="0.3">
      <c r="A610" t="s">
        <v>638</v>
      </c>
      <c r="B610" t="s">
        <v>40</v>
      </c>
      <c r="C610" t="s">
        <v>27</v>
      </c>
      <c r="D610">
        <v>3.04</v>
      </c>
      <c r="E610">
        <v>85</v>
      </c>
      <c r="F610">
        <v>3.08</v>
      </c>
      <c r="G610">
        <v>82</v>
      </c>
      <c r="H610" s="1">
        <v>45007.555555555555</v>
      </c>
      <c r="I610" s="1">
        <v>45007.614583333336</v>
      </c>
      <c r="L610" t="s">
        <v>24</v>
      </c>
      <c r="M610" t="s">
        <v>20</v>
      </c>
    </row>
    <row r="611" spans="1:13" x14ac:dyDescent="0.3">
      <c r="A611" t="s">
        <v>639</v>
      </c>
      <c r="B611" t="s">
        <v>14</v>
      </c>
      <c r="C611" t="s">
        <v>27</v>
      </c>
      <c r="D611">
        <v>2.91</v>
      </c>
      <c r="E611">
        <v>116</v>
      </c>
      <c r="F611">
        <v>2.46</v>
      </c>
      <c r="G611">
        <v>87</v>
      </c>
      <c r="H611" s="1">
        <v>45007.5625</v>
      </c>
      <c r="I611" s="1">
        <v>45007.643055555556</v>
      </c>
      <c r="L611" t="s">
        <v>24</v>
      </c>
      <c r="M611" t="s">
        <v>20</v>
      </c>
    </row>
    <row r="612" spans="1:13" x14ac:dyDescent="0.3">
      <c r="A612" t="s">
        <v>640</v>
      </c>
      <c r="B612" t="s">
        <v>14</v>
      </c>
      <c r="C612" t="s">
        <v>27</v>
      </c>
      <c r="D612">
        <v>2.38</v>
      </c>
      <c r="E612">
        <v>70</v>
      </c>
      <c r="F612">
        <v>7.41</v>
      </c>
      <c r="G612">
        <v>80</v>
      </c>
      <c r="H612" s="1">
        <v>45007.569444444445</v>
      </c>
      <c r="I612" s="1">
        <v>45007.618055555555</v>
      </c>
      <c r="L612" t="s">
        <v>24</v>
      </c>
      <c r="M612" t="s">
        <v>20</v>
      </c>
    </row>
    <row r="613" spans="1:13" x14ac:dyDescent="0.3">
      <c r="A613" t="s">
        <v>641</v>
      </c>
      <c r="B613" t="s">
        <v>40</v>
      </c>
      <c r="C613" t="s">
        <v>27</v>
      </c>
      <c r="D613">
        <v>1.55</v>
      </c>
      <c r="E613">
        <v>102</v>
      </c>
      <c r="F613">
        <v>14</v>
      </c>
      <c r="G613">
        <v>80</v>
      </c>
      <c r="H613" s="1">
        <v>45007.576388888891</v>
      </c>
      <c r="I613" s="1">
        <v>45007.647222222222</v>
      </c>
      <c r="L613" t="s">
        <v>24</v>
      </c>
      <c r="M613" t="s">
        <v>20</v>
      </c>
    </row>
    <row r="614" spans="1:13" x14ac:dyDescent="0.3">
      <c r="A614" t="s">
        <v>642</v>
      </c>
      <c r="B614" t="s">
        <v>40</v>
      </c>
      <c r="C614" t="s">
        <v>23</v>
      </c>
      <c r="D614">
        <v>4.0199999999999996</v>
      </c>
      <c r="E614">
        <v>66</v>
      </c>
      <c r="F614">
        <v>6.01</v>
      </c>
      <c r="G614">
        <v>84</v>
      </c>
      <c r="H614" s="1">
        <v>45007.583333333336</v>
      </c>
      <c r="I614" s="1">
        <v>45007.629166666666</v>
      </c>
      <c r="J614" s="1">
        <v>45007.584027777775</v>
      </c>
      <c r="K614" s="1">
        <v>45007.629861111112</v>
      </c>
      <c r="L614" t="s">
        <v>16</v>
      </c>
      <c r="M614" t="s">
        <v>28</v>
      </c>
    </row>
    <row r="615" spans="1:13" x14ac:dyDescent="0.3">
      <c r="A615" t="s">
        <v>643</v>
      </c>
      <c r="B615" t="s">
        <v>14</v>
      </c>
      <c r="C615" t="s">
        <v>27</v>
      </c>
      <c r="D615">
        <v>4.24</v>
      </c>
      <c r="E615">
        <v>77</v>
      </c>
      <c r="F615">
        <v>5.71</v>
      </c>
      <c r="G615">
        <v>81</v>
      </c>
      <c r="H615" s="1">
        <v>45007.590277777781</v>
      </c>
      <c r="I615" s="1">
        <v>45007.643750000003</v>
      </c>
      <c r="J615" s="1">
        <v>45007.590277777781</v>
      </c>
      <c r="K615" s="1">
        <v>45007.643750000003</v>
      </c>
      <c r="L615" t="s">
        <v>16</v>
      </c>
      <c r="M615" t="s">
        <v>28</v>
      </c>
    </row>
    <row r="616" spans="1:13" x14ac:dyDescent="0.3">
      <c r="A616" t="s">
        <v>644</v>
      </c>
      <c r="B616" t="s">
        <v>30</v>
      </c>
      <c r="C616" t="s">
        <v>32</v>
      </c>
      <c r="D616">
        <v>3.24</v>
      </c>
      <c r="E616">
        <v>53</v>
      </c>
      <c r="F616">
        <v>12.27</v>
      </c>
      <c r="G616">
        <v>81</v>
      </c>
      <c r="H616" s="1">
        <v>45007.597222222219</v>
      </c>
      <c r="I616" s="1">
        <v>45007.634027777778</v>
      </c>
      <c r="J616" s="1">
        <v>45007.613888888889</v>
      </c>
      <c r="K616" s="1">
        <v>45007.650694444441</v>
      </c>
      <c r="L616" t="s">
        <v>19</v>
      </c>
      <c r="M616" t="s">
        <v>20</v>
      </c>
    </row>
    <row r="617" spans="1:13" x14ac:dyDescent="0.3">
      <c r="A617" t="s">
        <v>645</v>
      </c>
      <c r="B617" t="s">
        <v>14</v>
      </c>
      <c r="C617" t="s">
        <v>23</v>
      </c>
      <c r="D617">
        <v>1.45</v>
      </c>
      <c r="E617">
        <v>45</v>
      </c>
      <c r="F617">
        <v>6.11</v>
      </c>
      <c r="G617">
        <v>93</v>
      </c>
      <c r="H617" s="1">
        <v>45007.604166666664</v>
      </c>
      <c r="I617" s="1">
        <v>45007.635416666664</v>
      </c>
      <c r="L617" t="s">
        <v>24</v>
      </c>
      <c r="M617" t="s">
        <v>20</v>
      </c>
    </row>
    <row r="618" spans="1:13" x14ac:dyDescent="0.3">
      <c r="A618" t="s">
        <v>646</v>
      </c>
      <c r="B618" t="s">
        <v>14</v>
      </c>
      <c r="C618" t="s">
        <v>36</v>
      </c>
      <c r="D618">
        <v>2.09</v>
      </c>
      <c r="E618">
        <v>66</v>
      </c>
      <c r="F618">
        <v>11.05</v>
      </c>
      <c r="G618">
        <v>91</v>
      </c>
      <c r="H618" s="1">
        <v>45007.611111111109</v>
      </c>
      <c r="I618" s="1">
        <v>45007.656944444447</v>
      </c>
      <c r="J618" s="1">
        <v>45007.61041666667</v>
      </c>
      <c r="K618" s="1">
        <v>45007.65625</v>
      </c>
      <c r="L618" t="s">
        <v>16</v>
      </c>
      <c r="M618" t="s">
        <v>20</v>
      </c>
    </row>
    <row r="619" spans="1:13" x14ac:dyDescent="0.3">
      <c r="A619" t="s">
        <v>647</v>
      </c>
      <c r="B619" t="s">
        <v>30</v>
      </c>
      <c r="C619" t="s">
        <v>27</v>
      </c>
      <c r="D619">
        <v>3.83</v>
      </c>
      <c r="E619">
        <v>94</v>
      </c>
      <c r="F619">
        <v>13.39</v>
      </c>
      <c r="G619">
        <v>84</v>
      </c>
      <c r="H619" s="1">
        <v>45007.618055555555</v>
      </c>
      <c r="I619" s="1">
        <v>45007.683333333334</v>
      </c>
      <c r="J619" s="1">
        <v>45007.618750000001</v>
      </c>
      <c r="K619" s="1">
        <v>45007.684027777781</v>
      </c>
      <c r="L619" t="s">
        <v>16</v>
      </c>
      <c r="M619" t="s">
        <v>17</v>
      </c>
    </row>
    <row r="620" spans="1:13" x14ac:dyDescent="0.3">
      <c r="A620" t="s">
        <v>648</v>
      </c>
      <c r="B620" t="s">
        <v>14</v>
      </c>
      <c r="C620" t="s">
        <v>15</v>
      </c>
      <c r="D620">
        <v>1.04</v>
      </c>
      <c r="E620">
        <v>114</v>
      </c>
      <c r="F620">
        <v>11.61</v>
      </c>
      <c r="G620">
        <v>98</v>
      </c>
      <c r="H620" s="1">
        <v>45007.625</v>
      </c>
      <c r="I620" s="1">
        <v>45007.70416666667</v>
      </c>
      <c r="J620" s="1">
        <v>45007.638194444444</v>
      </c>
      <c r="K620" s="1">
        <v>45007.717361111114</v>
      </c>
      <c r="L620" t="s">
        <v>19</v>
      </c>
      <c r="M620" t="s">
        <v>20</v>
      </c>
    </row>
    <row r="621" spans="1:13" x14ac:dyDescent="0.3">
      <c r="A621" t="s">
        <v>649</v>
      </c>
      <c r="B621" t="s">
        <v>14</v>
      </c>
      <c r="C621" t="s">
        <v>23</v>
      </c>
      <c r="D621">
        <v>3.85</v>
      </c>
      <c r="E621">
        <v>112</v>
      </c>
      <c r="F621">
        <v>13.5</v>
      </c>
      <c r="G621">
        <v>85</v>
      </c>
      <c r="H621" s="1">
        <v>45007.631944444445</v>
      </c>
      <c r="I621" s="1">
        <v>45007.709722222222</v>
      </c>
      <c r="J621" s="1">
        <v>45007.633333333331</v>
      </c>
      <c r="K621" s="1">
        <v>45007.711111111108</v>
      </c>
      <c r="L621" t="s">
        <v>16</v>
      </c>
      <c r="M621" t="s">
        <v>17</v>
      </c>
    </row>
    <row r="622" spans="1:13" x14ac:dyDescent="0.3">
      <c r="A622" t="s">
        <v>650</v>
      </c>
      <c r="B622" t="s">
        <v>34</v>
      </c>
      <c r="C622" t="s">
        <v>36</v>
      </c>
      <c r="D622">
        <v>4.68</v>
      </c>
      <c r="E622">
        <v>58</v>
      </c>
      <c r="F622">
        <v>8.91</v>
      </c>
      <c r="G622">
        <v>87</v>
      </c>
      <c r="H622" s="1">
        <v>45007.638888888891</v>
      </c>
      <c r="I622" s="1">
        <v>45007.679166666669</v>
      </c>
      <c r="J622" s="1">
        <v>45007.636805555558</v>
      </c>
      <c r="K622" s="1">
        <v>45007.677083333336</v>
      </c>
      <c r="L622" t="s">
        <v>16</v>
      </c>
      <c r="M622" t="s">
        <v>20</v>
      </c>
    </row>
    <row r="623" spans="1:13" x14ac:dyDescent="0.3">
      <c r="A623" t="s">
        <v>651</v>
      </c>
      <c r="B623" t="s">
        <v>40</v>
      </c>
      <c r="C623" t="s">
        <v>15</v>
      </c>
      <c r="D623">
        <v>1.93</v>
      </c>
      <c r="E623">
        <v>107</v>
      </c>
      <c r="F623">
        <v>2.2400000000000002</v>
      </c>
      <c r="G623">
        <v>80</v>
      </c>
      <c r="H623" s="1">
        <v>45007.645833333336</v>
      </c>
      <c r="I623" s="1">
        <v>45007.720138888886</v>
      </c>
      <c r="J623" s="1">
        <v>45007.665277777778</v>
      </c>
      <c r="K623" s="1">
        <v>45007.739583333336</v>
      </c>
      <c r="L623" t="s">
        <v>19</v>
      </c>
      <c r="M623" t="s">
        <v>20</v>
      </c>
    </row>
    <row r="624" spans="1:13" x14ac:dyDescent="0.3">
      <c r="A624" t="s">
        <v>652</v>
      </c>
      <c r="B624" t="s">
        <v>22</v>
      </c>
      <c r="C624" t="s">
        <v>15</v>
      </c>
      <c r="D624">
        <v>2.4300000000000002</v>
      </c>
      <c r="E624">
        <v>109</v>
      </c>
      <c r="F624">
        <v>9.16</v>
      </c>
      <c r="G624">
        <v>81</v>
      </c>
      <c r="H624" s="1">
        <v>45007.652777777781</v>
      </c>
      <c r="I624" s="1">
        <v>45007.728472222225</v>
      </c>
      <c r="J624" s="1">
        <v>45007.652777777781</v>
      </c>
      <c r="K624" s="1">
        <v>45007.728472222225</v>
      </c>
      <c r="L624" t="s">
        <v>16</v>
      </c>
      <c r="M624" t="s">
        <v>28</v>
      </c>
    </row>
    <row r="625" spans="1:13" x14ac:dyDescent="0.3">
      <c r="A625" t="s">
        <v>653</v>
      </c>
      <c r="B625" t="s">
        <v>40</v>
      </c>
      <c r="C625" t="s">
        <v>23</v>
      </c>
      <c r="D625">
        <v>1.92</v>
      </c>
      <c r="E625">
        <v>29</v>
      </c>
      <c r="F625">
        <v>14.55</v>
      </c>
      <c r="G625">
        <v>91</v>
      </c>
      <c r="H625" s="1">
        <v>45007.659722222219</v>
      </c>
      <c r="I625" s="1">
        <v>45007.679861111108</v>
      </c>
      <c r="J625" s="1">
        <v>45007.661111111112</v>
      </c>
      <c r="K625" s="1">
        <v>45007.681250000001</v>
      </c>
      <c r="L625" t="s">
        <v>16</v>
      </c>
      <c r="M625" t="s">
        <v>17</v>
      </c>
    </row>
    <row r="626" spans="1:13" x14ac:dyDescent="0.3">
      <c r="A626" t="s">
        <v>654</v>
      </c>
      <c r="B626" t="s">
        <v>14</v>
      </c>
      <c r="C626" t="s">
        <v>36</v>
      </c>
      <c r="D626">
        <v>3.36</v>
      </c>
      <c r="E626">
        <v>70</v>
      </c>
      <c r="F626">
        <v>11.67</v>
      </c>
      <c r="G626">
        <v>94</v>
      </c>
      <c r="H626" s="1">
        <v>45007.666666666664</v>
      </c>
      <c r="I626" s="1">
        <v>45007.715277777781</v>
      </c>
      <c r="J626" s="1">
        <v>45007.6875</v>
      </c>
      <c r="K626" s="1">
        <v>45007.736111111109</v>
      </c>
      <c r="L626" t="s">
        <v>19</v>
      </c>
      <c r="M626" t="s">
        <v>20</v>
      </c>
    </row>
    <row r="627" spans="1:13" x14ac:dyDescent="0.3">
      <c r="A627" t="s">
        <v>655</v>
      </c>
      <c r="B627" t="s">
        <v>34</v>
      </c>
      <c r="C627" t="s">
        <v>36</v>
      </c>
      <c r="D627">
        <v>3.13</v>
      </c>
      <c r="E627">
        <v>52</v>
      </c>
      <c r="F627">
        <v>2.68</v>
      </c>
      <c r="G627">
        <v>82</v>
      </c>
      <c r="H627" s="1">
        <v>45007.673611111109</v>
      </c>
      <c r="I627" s="1">
        <v>45007.709722222222</v>
      </c>
      <c r="J627" s="1">
        <v>45007.671527777777</v>
      </c>
      <c r="K627" s="1">
        <v>45007.707638888889</v>
      </c>
      <c r="L627" t="s">
        <v>16</v>
      </c>
      <c r="M627" t="s">
        <v>20</v>
      </c>
    </row>
    <row r="628" spans="1:13" x14ac:dyDescent="0.3">
      <c r="A628" t="s">
        <v>656</v>
      </c>
      <c r="B628" t="s">
        <v>14</v>
      </c>
      <c r="C628" t="s">
        <v>15</v>
      </c>
      <c r="D628">
        <v>3.22</v>
      </c>
      <c r="E628">
        <v>72</v>
      </c>
      <c r="F628">
        <v>3.4</v>
      </c>
      <c r="G628">
        <v>85</v>
      </c>
      <c r="H628" s="1">
        <v>45007.680555555555</v>
      </c>
      <c r="I628" s="1">
        <v>45007.730555555558</v>
      </c>
      <c r="J628" s="1">
        <v>45007.678472222222</v>
      </c>
      <c r="K628" s="1">
        <v>45007.728472222225</v>
      </c>
      <c r="L628" t="s">
        <v>16</v>
      </c>
      <c r="M628" t="s">
        <v>20</v>
      </c>
    </row>
    <row r="629" spans="1:13" x14ac:dyDescent="0.3">
      <c r="A629" t="s">
        <v>657</v>
      </c>
      <c r="B629" t="s">
        <v>30</v>
      </c>
      <c r="C629" t="s">
        <v>36</v>
      </c>
      <c r="D629">
        <v>1.5</v>
      </c>
      <c r="E629">
        <v>119</v>
      </c>
      <c r="F629">
        <v>6.85</v>
      </c>
      <c r="G629">
        <v>84</v>
      </c>
      <c r="H629" s="1">
        <v>45007.6875</v>
      </c>
      <c r="I629" s="1">
        <v>45007.770138888889</v>
      </c>
      <c r="J629" s="1">
        <v>45007.68472222222</v>
      </c>
      <c r="K629" s="1">
        <v>45007.767361111109</v>
      </c>
      <c r="L629" t="s">
        <v>16</v>
      </c>
      <c r="M629" t="s">
        <v>20</v>
      </c>
    </row>
    <row r="630" spans="1:13" x14ac:dyDescent="0.3">
      <c r="A630" t="s">
        <v>658</v>
      </c>
      <c r="B630" t="s">
        <v>40</v>
      </c>
      <c r="C630" t="s">
        <v>32</v>
      </c>
      <c r="D630">
        <v>1.3</v>
      </c>
      <c r="E630">
        <v>112</v>
      </c>
      <c r="F630">
        <v>2.94</v>
      </c>
      <c r="G630">
        <v>93</v>
      </c>
      <c r="H630" s="1">
        <v>45007.694444444445</v>
      </c>
      <c r="I630" s="1">
        <v>45007.772222222222</v>
      </c>
      <c r="J630" s="1">
        <v>45007.712500000001</v>
      </c>
      <c r="K630" s="1">
        <v>45007.790277777778</v>
      </c>
      <c r="L630" t="s">
        <v>19</v>
      </c>
      <c r="M630" t="s">
        <v>20</v>
      </c>
    </row>
    <row r="631" spans="1:13" x14ac:dyDescent="0.3">
      <c r="A631" t="s">
        <v>659</v>
      </c>
      <c r="B631" t="s">
        <v>34</v>
      </c>
      <c r="C631" t="s">
        <v>23</v>
      </c>
      <c r="D631">
        <v>4.0199999999999996</v>
      </c>
      <c r="E631">
        <v>39</v>
      </c>
      <c r="F631">
        <v>6.18</v>
      </c>
      <c r="G631">
        <v>93</v>
      </c>
      <c r="H631" s="1">
        <v>45007.701388888891</v>
      </c>
      <c r="I631" s="1">
        <v>45007.728472222225</v>
      </c>
      <c r="J631" s="1">
        <v>45007.717361111114</v>
      </c>
      <c r="K631" s="1">
        <v>45007.744444444441</v>
      </c>
      <c r="L631" t="s">
        <v>19</v>
      </c>
      <c r="M631" t="s">
        <v>20</v>
      </c>
    </row>
    <row r="632" spans="1:13" x14ac:dyDescent="0.3">
      <c r="A632" t="s">
        <v>660</v>
      </c>
      <c r="B632" t="s">
        <v>14</v>
      </c>
      <c r="C632" t="s">
        <v>27</v>
      </c>
      <c r="D632">
        <v>4.54</v>
      </c>
      <c r="E632">
        <v>105</v>
      </c>
      <c r="F632">
        <v>2.63</v>
      </c>
      <c r="G632">
        <v>97</v>
      </c>
      <c r="H632" s="1">
        <v>45007.708333333336</v>
      </c>
      <c r="I632" s="1">
        <v>45007.78125</v>
      </c>
      <c r="J632" s="1">
        <v>45007.707638888889</v>
      </c>
      <c r="K632" s="1">
        <v>45007.780555555553</v>
      </c>
      <c r="L632" t="s">
        <v>16</v>
      </c>
      <c r="M632" t="s">
        <v>20</v>
      </c>
    </row>
    <row r="633" spans="1:13" x14ac:dyDescent="0.3">
      <c r="A633" t="s">
        <v>661</v>
      </c>
      <c r="B633" t="s">
        <v>14</v>
      </c>
      <c r="C633" t="s">
        <v>15</v>
      </c>
      <c r="D633">
        <v>2.1</v>
      </c>
      <c r="E633">
        <v>51</v>
      </c>
      <c r="F633">
        <v>13.64</v>
      </c>
      <c r="G633">
        <v>85</v>
      </c>
      <c r="H633" s="1">
        <v>45007.715277777781</v>
      </c>
      <c r="I633" s="1">
        <v>45007.750694444447</v>
      </c>
      <c r="J633" s="1">
        <v>45007.714583333334</v>
      </c>
      <c r="K633" s="1">
        <v>45007.75</v>
      </c>
      <c r="L633" t="s">
        <v>16</v>
      </c>
      <c r="M633" t="s">
        <v>20</v>
      </c>
    </row>
    <row r="634" spans="1:13" x14ac:dyDescent="0.3">
      <c r="A634" t="s">
        <v>662</v>
      </c>
      <c r="B634" t="s">
        <v>40</v>
      </c>
      <c r="C634" t="s">
        <v>32</v>
      </c>
      <c r="D634">
        <v>4.42</v>
      </c>
      <c r="E634">
        <v>98</v>
      </c>
      <c r="F634">
        <v>14.08</v>
      </c>
      <c r="G634">
        <v>97</v>
      </c>
      <c r="H634" s="1">
        <v>45007.722222222219</v>
      </c>
      <c r="I634" s="1">
        <v>45007.790277777778</v>
      </c>
      <c r="J634" s="1">
        <v>45007.740277777775</v>
      </c>
      <c r="K634" s="1">
        <v>45007.808333333334</v>
      </c>
      <c r="L634" t="s">
        <v>19</v>
      </c>
      <c r="M634" t="s">
        <v>20</v>
      </c>
    </row>
    <row r="635" spans="1:13" x14ac:dyDescent="0.3">
      <c r="A635" t="s">
        <v>663</v>
      </c>
      <c r="B635" t="s">
        <v>40</v>
      </c>
      <c r="C635" t="s">
        <v>36</v>
      </c>
      <c r="D635">
        <v>3.26</v>
      </c>
      <c r="E635">
        <v>87</v>
      </c>
      <c r="F635">
        <v>9.49</v>
      </c>
      <c r="G635">
        <v>80</v>
      </c>
      <c r="H635" s="1">
        <v>45007.729166666664</v>
      </c>
      <c r="I635" s="1">
        <v>45007.789583333331</v>
      </c>
      <c r="J635" s="1">
        <v>45007.727083333331</v>
      </c>
      <c r="K635" s="1">
        <v>45007.787499999999</v>
      </c>
      <c r="L635" t="s">
        <v>16</v>
      </c>
      <c r="M635" t="s">
        <v>20</v>
      </c>
    </row>
    <row r="636" spans="1:13" x14ac:dyDescent="0.3">
      <c r="A636" t="s">
        <v>664</v>
      </c>
      <c r="B636" t="s">
        <v>22</v>
      </c>
      <c r="C636" t="s">
        <v>32</v>
      </c>
      <c r="D636">
        <v>1.54</v>
      </c>
      <c r="E636">
        <v>103</v>
      </c>
      <c r="F636">
        <v>7.9</v>
      </c>
      <c r="G636">
        <v>80</v>
      </c>
      <c r="H636" s="1">
        <v>45007.736111111109</v>
      </c>
      <c r="I636" s="1">
        <v>45007.807638888888</v>
      </c>
      <c r="L636" t="s">
        <v>24</v>
      </c>
      <c r="M636" t="s">
        <v>20</v>
      </c>
    </row>
    <row r="637" spans="1:13" x14ac:dyDescent="0.3">
      <c r="A637" t="s">
        <v>665</v>
      </c>
      <c r="B637" t="s">
        <v>34</v>
      </c>
      <c r="C637" t="s">
        <v>32</v>
      </c>
      <c r="D637">
        <v>1.45</v>
      </c>
      <c r="E637">
        <v>73</v>
      </c>
      <c r="F637">
        <v>4.3600000000000003</v>
      </c>
      <c r="G637">
        <v>80</v>
      </c>
      <c r="H637" s="1">
        <v>45007.743055555555</v>
      </c>
      <c r="I637" s="1">
        <v>45007.793749999997</v>
      </c>
      <c r="J637" s="1">
        <v>45007.758333333331</v>
      </c>
      <c r="K637" s="1">
        <v>45007.809027777781</v>
      </c>
      <c r="L637" t="s">
        <v>19</v>
      </c>
      <c r="M637" t="s">
        <v>20</v>
      </c>
    </row>
    <row r="638" spans="1:13" x14ac:dyDescent="0.3">
      <c r="A638" t="s">
        <v>666</v>
      </c>
      <c r="B638" t="s">
        <v>22</v>
      </c>
      <c r="C638" t="s">
        <v>15</v>
      </c>
      <c r="D638">
        <v>2.13</v>
      </c>
      <c r="E638">
        <v>85</v>
      </c>
      <c r="F638">
        <v>13.13</v>
      </c>
      <c r="G638">
        <v>89</v>
      </c>
      <c r="H638" s="1">
        <v>45007.75</v>
      </c>
      <c r="I638" s="1">
        <v>45007.809027777781</v>
      </c>
      <c r="L638" t="s">
        <v>24</v>
      </c>
      <c r="M638" t="s">
        <v>20</v>
      </c>
    </row>
    <row r="639" spans="1:13" x14ac:dyDescent="0.3">
      <c r="A639" t="s">
        <v>667</v>
      </c>
      <c r="B639" t="s">
        <v>34</v>
      </c>
      <c r="C639" t="s">
        <v>36</v>
      </c>
      <c r="D639">
        <v>3.8</v>
      </c>
      <c r="E639">
        <v>93</v>
      </c>
      <c r="F639">
        <v>4.0599999999999996</v>
      </c>
      <c r="G639">
        <v>88</v>
      </c>
      <c r="H639" s="1">
        <v>45007.756944444445</v>
      </c>
      <c r="I639" s="1">
        <v>45007.821527777778</v>
      </c>
      <c r="J639" s="1">
        <v>45007.754166666666</v>
      </c>
      <c r="K639" s="1">
        <v>45007.818749999999</v>
      </c>
      <c r="L639" t="s">
        <v>16</v>
      </c>
      <c r="M639" t="s">
        <v>20</v>
      </c>
    </row>
    <row r="640" spans="1:13" x14ac:dyDescent="0.3">
      <c r="A640" t="s">
        <v>668</v>
      </c>
      <c r="B640" t="s">
        <v>34</v>
      </c>
      <c r="C640" t="s">
        <v>15</v>
      </c>
      <c r="D640">
        <v>1.37</v>
      </c>
      <c r="E640">
        <v>102</v>
      </c>
      <c r="F640">
        <v>2.21</v>
      </c>
      <c r="G640">
        <v>82</v>
      </c>
      <c r="H640" s="1">
        <v>45007.763888888891</v>
      </c>
      <c r="I640" s="1">
        <v>45007.834722222222</v>
      </c>
      <c r="J640" s="1">
        <v>45007.780555555553</v>
      </c>
      <c r="K640" s="1">
        <v>45007.851388888892</v>
      </c>
      <c r="L640" t="s">
        <v>19</v>
      </c>
      <c r="M640" t="s">
        <v>20</v>
      </c>
    </row>
    <row r="641" spans="1:13" x14ac:dyDescent="0.3">
      <c r="A641" t="s">
        <v>669</v>
      </c>
      <c r="B641" t="s">
        <v>14</v>
      </c>
      <c r="C641" t="s">
        <v>27</v>
      </c>
      <c r="D641">
        <v>1.78</v>
      </c>
      <c r="E641">
        <v>36</v>
      </c>
      <c r="F641">
        <v>6.59</v>
      </c>
      <c r="G641">
        <v>86</v>
      </c>
      <c r="H641" s="1">
        <v>45007.770833333336</v>
      </c>
      <c r="I641" s="1">
        <v>45007.79583333333</v>
      </c>
      <c r="J641" s="1">
        <v>45007.773611111108</v>
      </c>
      <c r="K641" s="1">
        <v>45007.798611111109</v>
      </c>
      <c r="L641" t="s">
        <v>16</v>
      </c>
      <c r="M641" t="s">
        <v>28</v>
      </c>
    </row>
    <row r="642" spans="1:13" x14ac:dyDescent="0.3">
      <c r="A642" t="s">
        <v>670</v>
      </c>
      <c r="B642" t="s">
        <v>14</v>
      </c>
      <c r="C642" t="s">
        <v>15</v>
      </c>
      <c r="D642">
        <v>2.8</v>
      </c>
      <c r="E642">
        <v>113</v>
      </c>
      <c r="F642">
        <v>3.17</v>
      </c>
      <c r="G642">
        <v>85</v>
      </c>
      <c r="H642" s="1">
        <v>45007.777777777781</v>
      </c>
      <c r="I642" s="1">
        <v>45007.856249999997</v>
      </c>
      <c r="J642" s="1">
        <v>45007.798611111109</v>
      </c>
      <c r="K642" s="1">
        <v>45007.877083333333</v>
      </c>
      <c r="L642" t="s">
        <v>19</v>
      </c>
      <c r="M642" t="s">
        <v>20</v>
      </c>
    </row>
    <row r="643" spans="1:13" x14ac:dyDescent="0.3">
      <c r="A643" t="s">
        <v>671</v>
      </c>
      <c r="B643" t="s">
        <v>22</v>
      </c>
      <c r="C643" t="s">
        <v>27</v>
      </c>
      <c r="D643">
        <v>4.66</v>
      </c>
      <c r="E643">
        <v>43</v>
      </c>
      <c r="F643">
        <v>11.89</v>
      </c>
      <c r="G643">
        <v>90</v>
      </c>
      <c r="H643" s="1">
        <v>45007.784722222219</v>
      </c>
      <c r="I643" s="1">
        <v>45007.814583333333</v>
      </c>
      <c r="J643" s="1">
        <v>45007.801388888889</v>
      </c>
      <c r="K643" s="1">
        <v>45007.831250000003</v>
      </c>
      <c r="L643" t="s">
        <v>19</v>
      </c>
      <c r="M643" t="s">
        <v>20</v>
      </c>
    </row>
    <row r="644" spans="1:13" x14ac:dyDescent="0.3">
      <c r="A644" t="s">
        <v>672</v>
      </c>
      <c r="B644" t="s">
        <v>34</v>
      </c>
      <c r="C644" t="s">
        <v>15</v>
      </c>
      <c r="D644">
        <v>4.74</v>
      </c>
      <c r="E644">
        <v>61</v>
      </c>
      <c r="F644">
        <v>5.82</v>
      </c>
      <c r="G644">
        <v>91</v>
      </c>
      <c r="H644" s="1">
        <v>45007.791666666664</v>
      </c>
      <c r="I644" s="1">
        <v>45007.834027777775</v>
      </c>
      <c r="J644" s="1">
        <v>45007.811111111114</v>
      </c>
      <c r="K644" s="1">
        <v>45007.853472222225</v>
      </c>
      <c r="L644" t="s">
        <v>19</v>
      </c>
      <c r="M644" t="s">
        <v>20</v>
      </c>
    </row>
    <row r="645" spans="1:13" x14ac:dyDescent="0.3">
      <c r="A645" t="s">
        <v>673</v>
      </c>
      <c r="B645" t="s">
        <v>30</v>
      </c>
      <c r="C645" t="s">
        <v>36</v>
      </c>
      <c r="D645">
        <v>4.04</v>
      </c>
      <c r="E645">
        <v>87</v>
      </c>
      <c r="F645">
        <v>14.09</v>
      </c>
      <c r="G645">
        <v>89</v>
      </c>
      <c r="H645" s="1">
        <v>45007.798611111109</v>
      </c>
      <c r="I645" s="1">
        <v>45007.859027777777</v>
      </c>
      <c r="J645" s="1">
        <v>45007.801388888889</v>
      </c>
      <c r="K645" s="1">
        <v>45007.861805555556</v>
      </c>
      <c r="L645" t="s">
        <v>16</v>
      </c>
      <c r="M645" t="s">
        <v>17</v>
      </c>
    </row>
    <row r="646" spans="1:13" x14ac:dyDescent="0.3">
      <c r="A646" t="s">
        <v>674</v>
      </c>
      <c r="B646" t="s">
        <v>14</v>
      </c>
      <c r="C646" t="s">
        <v>32</v>
      </c>
      <c r="D646">
        <v>2.3199999999999998</v>
      </c>
      <c r="E646">
        <v>50</v>
      </c>
      <c r="F646">
        <v>8.42</v>
      </c>
      <c r="G646">
        <v>89</v>
      </c>
      <c r="H646" s="1">
        <v>45007.805555555555</v>
      </c>
      <c r="I646" s="1">
        <v>45007.840277777781</v>
      </c>
      <c r="J646" s="1">
        <v>45007.814583333333</v>
      </c>
      <c r="K646" s="1">
        <v>45007.849305555559</v>
      </c>
      <c r="L646" t="s">
        <v>19</v>
      </c>
      <c r="M646" t="s">
        <v>20</v>
      </c>
    </row>
    <row r="647" spans="1:13" x14ac:dyDescent="0.3">
      <c r="A647" t="s">
        <v>675</v>
      </c>
      <c r="B647" t="s">
        <v>30</v>
      </c>
      <c r="C647" t="s">
        <v>23</v>
      </c>
      <c r="D647">
        <v>3.69</v>
      </c>
      <c r="E647">
        <v>118</v>
      </c>
      <c r="F647">
        <v>4.63</v>
      </c>
      <c r="G647">
        <v>84</v>
      </c>
      <c r="H647" s="1">
        <v>45007.8125</v>
      </c>
      <c r="I647" s="1">
        <v>45007.894444444442</v>
      </c>
      <c r="L647" t="s">
        <v>24</v>
      </c>
      <c r="M647" t="s">
        <v>20</v>
      </c>
    </row>
    <row r="648" spans="1:13" x14ac:dyDescent="0.3">
      <c r="A648" t="s">
        <v>676</v>
      </c>
      <c r="B648" t="s">
        <v>34</v>
      </c>
      <c r="C648" t="s">
        <v>15</v>
      </c>
      <c r="D648">
        <v>2.44</v>
      </c>
      <c r="E648">
        <v>97</v>
      </c>
      <c r="F648">
        <v>14.54</v>
      </c>
      <c r="G648">
        <v>98</v>
      </c>
      <c r="H648" s="1">
        <v>45007.819444444445</v>
      </c>
      <c r="I648" s="1">
        <v>45007.886805555558</v>
      </c>
      <c r="J648" s="1">
        <v>45007.818749999999</v>
      </c>
      <c r="K648" s="1">
        <v>45007.886111111111</v>
      </c>
      <c r="L648" t="s">
        <v>16</v>
      </c>
      <c r="M648" t="s">
        <v>20</v>
      </c>
    </row>
    <row r="649" spans="1:13" x14ac:dyDescent="0.3">
      <c r="A649" t="s">
        <v>677</v>
      </c>
      <c r="B649" t="s">
        <v>14</v>
      </c>
      <c r="C649" t="s">
        <v>23</v>
      </c>
      <c r="D649">
        <v>1.71</v>
      </c>
      <c r="E649">
        <v>56</v>
      </c>
      <c r="F649">
        <v>11</v>
      </c>
      <c r="G649">
        <v>90</v>
      </c>
      <c r="H649" s="1">
        <v>45007.826388888891</v>
      </c>
      <c r="I649" s="1">
        <v>45007.865277777775</v>
      </c>
      <c r="J649" s="1">
        <v>45007.828472222223</v>
      </c>
      <c r="K649" s="1">
        <v>45007.867361111108</v>
      </c>
      <c r="L649" t="s">
        <v>16</v>
      </c>
      <c r="M649" t="s">
        <v>17</v>
      </c>
    </row>
    <row r="650" spans="1:13" x14ac:dyDescent="0.3">
      <c r="A650" t="s">
        <v>678</v>
      </c>
      <c r="B650" t="s">
        <v>40</v>
      </c>
      <c r="C650" t="s">
        <v>23</v>
      </c>
      <c r="D650">
        <v>1.69</v>
      </c>
      <c r="E650">
        <v>57</v>
      </c>
      <c r="F650">
        <v>2.81</v>
      </c>
      <c r="G650">
        <v>96</v>
      </c>
      <c r="H650" s="1">
        <v>45007.833333333336</v>
      </c>
      <c r="I650" s="1">
        <v>45007.872916666667</v>
      </c>
      <c r="J650" s="1">
        <v>45007.847916666666</v>
      </c>
      <c r="K650" s="1">
        <v>45007.887499999997</v>
      </c>
      <c r="L650" t="s">
        <v>19</v>
      </c>
      <c r="M650" t="s">
        <v>20</v>
      </c>
    </row>
    <row r="651" spans="1:13" x14ac:dyDescent="0.3">
      <c r="A651" t="s">
        <v>679</v>
      </c>
      <c r="B651" t="s">
        <v>22</v>
      </c>
      <c r="C651" t="s">
        <v>36</v>
      </c>
      <c r="D651">
        <v>1.34</v>
      </c>
      <c r="E651">
        <v>100</v>
      </c>
      <c r="F651">
        <v>9.56</v>
      </c>
      <c r="G651">
        <v>85</v>
      </c>
      <c r="H651" s="1">
        <v>45007.840277777781</v>
      </c>
      <c r="I651" s="1">
        <v>45007.909722222219</v>
      </c>
      <c r="J651" s="1">
        <v>45007.842361111114</v>
      </c>
      <c r="K651" s="1">
        <v>45007.911805555559</v>
      </c>
      <c r="L651" t="s">
        <v>16</v>
      </c>
      <c r="M651" t="s">
        <v>17</v>
      </c>
    </row>
    <row r="652" spans="1:13" x14ac:dyDescent="0.3">
      <c r="A652" t="s">
        <v>680</v>
      </c>
      <c r="B652" t="s">
        <v>14</v>
      </c>
      <c r="C652" t="s">
        <v>36</v>
      </c>
      <c r="D652">
        <v>3.41</v>
      </c>
      <c r="E652">
        <v>37</v>
      </c>
      <c r="F652">
        <v>6.08</v>
      </c>
      <c r="G652">
        <v>84</v>
      </c>
      <c r="H652" s="1">
        <v>45007.847222222219</v>
      </c>
      <c r="I652" s="1">
        <v>45007.872916666667</v>
      </c>
      <c r="J652" s="1">
        <v>45007.86041666667</v>
      </c>
      <c r="K652" s="1">
        <v>45007.886111111111</v>
      </c>
      <c r="L652" t="s">
        <v>19</v>
      </c>
      <c r="M652" t="s">
        <v>20</v>
      </c>
    </row>
    <row r="653" spans="1:13" x14ac:dyDescent="0.3">
      <c r="A653" t="s">
        <v>681</v>
      </c>
      <c r="B653" t="s">
        <v>14</v>
      </c>
      <c r="C653" t="s">
        <v>23</v>
      </c>
      <c r="D653">
        <v>2.29</v>
      </c>
      <c r="E653">
        <v>25</v>
      </c>
      <c r="F653">
        <v>3.47</v>
      </c>
      <c r="G653">
        <v>85</v>
      </c>
      <c r="H653" s="1">
        <v>45007.854166666664</v>
      </c>
      <c r="I653" s="1">
        <v>45007.871527777781</v>
      </c>
      <c r="J653" s="1">
        <v>45007.857638888891</v>
      </c>
      <c r="K653" s="1">
        <v>45007.875</v>
      </c>
      <c r="L653" t="s">
        <v>16</v>
      </c>
      <c r="M653" t="s">
        <v>28</v>
      </c>
    </row>
    <row r="654" spans="1:13" x14ac:dyDescent="0.3">
      <c r="A654" t="s">
        <v>682</v>
      </c>
      <c r="B654" t="s">
        <v>22</v>
      </c>
      <c r="C654" t="s">
        <v>36</v>
      </c>
      <c r="D654">
        <v>1.59</v>
      </c>
      <c r="E654">
        <v>21</v>
      </c>
      <c r="F654">
        <v>12.56</v>
      </c>
      <c r="G654">
        <v>81</v>
      </c>
      <c r="H654" s="1">
        <v>45007.861111111109</v>
      </c>
      <c r="I654" s="1">
        <v>45007.875694444447</v>
      </c>
      <c r="J654" s="1">
        <v>45007.880555555559</v>
      </c>
      <c r="K654" s="1">
        <v>45007.895138888889</v>
      </c>
      <c r="L654" t="s">
        <v>19</v>
      </c>
      <c r="M654" t="s">
        <v>20</v>
      </c>
    </row>
    <row r="655" spans="1:13" x14ac:dyDescent="0.3">
      <c r="A655" t="s">
        <v>683</v>
      </c>
      <c r="B655" t="s">
        <v>30</v>
      </c>
      <c r="C655" t="s">
        <v>36</v>
      </c>
      <c r="D655">
        <v>2.0299999999999998</v>
      </c>
      <c r="E655">
        <v>59</v>
      </c>
      <c r="F655">
        <v>3.42</v>
      </c>
      <c r="G655">
        <v>93</v>
      </c>
      <c r="H655" s="1">
        <v>45007.868055555555</v>
      </c>
      <c r="I655" s="1">
        <v>45007.90902777778</v>
      </c>
      <c r="J655" s="1">
        <v>45007.87777777778</v>
      </c>
      <c r="K655" s="1">
        <v>45007.918749999997</v>
      </c>
      <c r="L655" t="s">
        <v>19</v>
      </c>
      <c r="M655" t="s">
        <v>20</v>
      </c>
    </row>
    <row r="656" spans="1:13" x14ac:dyDescent="0.3">
      <c r="A656" t="s">
        <v>684</v>
      </c>
      <c r="B656" t="s">
        <v>22</v>
      </c>
      <c r="C656" t="s">
        <v>32</v>
      </c>
      <c r="D656">
        <v>4.76</v>
      </c>
      <c r="E656">
        <v>46</v>
      </c>
      <c r="F656">
        <v>4.6100000000000003</v>
      </c>
      <c r="G656">
        <v>89</v>
      </c>
      <c r="H656" s="1">
        <v>45007.875</v>
      </c>
      <c r="I656" s="1">
        <v>45007.906944444447</v>
      </c>
      <c r="J656" s="1">
        <v>45007.874305555553</v>
      </c>
      <c r="K656" s="1">
        <v>45007.90625</v>
      </c>
      <c r="L656" t="s">
        <v>16</v>
      </c>
      <c r="M656" t="s">
        <v>20</v>
      </c>
    </row>
    <row r="657" spans="1:13" x14ac:dyDescent="0.3">
      <c r="A657" t="s">
        <v>685</v>
      </c>
      <c r="B657" t="s">
        <v>30</v>
      </c>
      <c r="C657" t="s">
        <v>15</v>
      </c>
      <c r="D657">
        <v>3.68</v>
      </c>
      <c r="E657">
        <v>23</v>
      </c>
      <c r="F657">
        <v>8.99</v>
      </c>
      <c r="G657">
        <v>87</v>
      </c>
      <c r="H657" s="1">
        <v>45007.881944444445</v>
      </c>
      <c r="I657" s="1">
        <v>45007.897916666669</v>
      </c>
      <c r="J657" s="1">
        <v>45007.881944444445</v>
      </c>
      <c r="K657" s="1">
        <v>45007.897916666669</v>
      </c>
      <c r="L657" t="s">
        <v>16</v>
      </c>
      <c r="M657" t="s">
        <v>28</v>
      </c>
    </row>
    <row r="658" spans="1:13" x14ac:dyDescent="0.3">
      <c r="A658" t="s">
        <v>686</v>
      </c>
      <c r="B658" t="s">
        <v>40</v>
      </c>
      <c r="C658" t="s">
        <v>15</v>
      </c>
      <c r="D658">
        <v>3.91</v>
      </c>
      <c r="E658">
        <v>101</v>
      </c>
      <c r="F658">
        <v>10.7</v>
      </c>
      <c r="G658">
        <v>95</v>
      </c>
      <c r="H658" s="1">
        <v>45007.888888888891</v>
      </c>
      <c r="I658" s="1">
        <v>45007.959027777775</v>
      </c>
      <c r="J658" s="1">
        <v>45007.888888888891</v>
      </c>
      <c r="K658" s="1">
        <v>45007.959027777775</v>
      </c>
      <c r="L658" t="s">
        <v>16</v>
      </c>
      <c r="M658" t="s">
        <v>17</v>
      </c>
    </row>
    <row r="659" spans="1:13" x14ac:dyDescent="0.3">
      <c r="A659" t="s">
        <v>687</v>
      </c>
      <c r="B659" t="s">
        <v>30</v>
      </c>
      <c r="C659" t="s">
        <v>36</v>
      </c>
      <c r="D659">
        <v>4.08</v>
      </c>
      <c r="E659">
        <v>60</v>
      </c>
      <c r="F659">
        <v>2.94</v>
      </c>
      <c r="G659">
        <v>90</v>
      </c>
      <c r="H659" s="1">
        <v>45007.895833333336</v>
      </c>
      <c r="I659" s="1">
        <v>45007.9375</v>
      </c>
      <c r="J659" s="1">
        <v>45007.914583333331</v>
      </c>
      <c r="K659" s="1">
        <v>45007.956250000003</v>
      </c>
      <c r="L659" t="s">
        <v>19</v>
      </c>
      <c r="M659" t="s">
        <v>20</v>
      </c>
    </row>
    <row r="660" spans="1:13" x14ac:dyDescent="0.3">
      <c r="A660" t="s">
        <v>688</v>
      </c>
      <c r="B660" t="s">
        <v>40</v>
      </c>
      <c r="C660" t="s">
        <v>32</v>
      </c>
      <c r="D660">
        <v>1.18</v>
      </c>
      <c r="E660">
        <v>61</v>
      </c>
      <c r="F660">
        <v>14.09</v>
      </c>
      <c r="G660">
        <v>87</v>
      </c>
      <c r="H660" s="1">
        <v>45007.902777777781</v>
      </c>
      <c r="I660" s="1">
        <v>45007.945138888892</v>
      </c>
      <c r="J660" s="1">
        <v>45007.909722222219</v>
      </c>
      <c r="K660" s="1">
        <v>45007.95208333333</v>
      </c>
      <c r="L660" t="s">
        <v>19</v>
      </c>
      <c r="M660" t="s">
        <v>20</v>
      </c>
    </row>
    <row r="661" spans="1:13" x14ac:dyDescent="0.3">
      <c r="A661" t="s">
        <v>689</v>
      </c>
      <c r="B661" t="s">
        <v>14</v>
      </c>
      <c r="C661" t="s">
        <v>32</v>
      </c>
      <c r="D661">
        <v>4.59</v>
      </c>
      <c r="E661">
        <v>120</v>
      </c>
      <c r="F661">
        <v>3.14</v>
      </c>
      <c r="G661">
        <v>93</v>
      </c>
      <c r="H661" s="1">
        <v>45007.909722222219</v>
      </c>
      <c r="I661" s="1">
        <v>45007.993055555555</v>
      </c>
      <c r="J661" s="1">
        <v>45007.930555555555</v>
      </c>
      <c r="K661" s="1">
        <v>45008.013888888891</v>
      </c>
      <c r="L661" t="s">
        <v>19</v>
      </c>
      <c r="M661" t="s">
        <v>20</v>
      </c>
    </row>
    <row r="662" spans="1:13" x14ac:dyDescent="0.3">
      <c r="A662" t="s">
        <v>690</v>
      </c>
      <c r="B662" t="s">
        <v>22</v>
      </c>
      <c r="C662" t="s">
        <v>27</v>
      </c>
      <c r="D662">
        <v>3.82</v>
      </c>
      <c r="E662">
        <v>79</v>
      </c>
      <c r="F662">
        <v>13.23</v>
      </c>
      <c r="G662">
        <v>96</v>
      </c>
      <c r="H662" s="1">
        <v>45007.916666666664</v>
      </c>
      <c r="I662" s="1">
        <v>45007.97152777778</v>
      </c>
      <c r="J662" s="1">
        <v>45007.914583333331</v>
      </c>
      <c r="K662" s="1">
        <v>45007.969444444447</v>
      </c>
      <c r="L662" t="s">
        <v>16</v>
      </c>
      <c r="M662" t="s">
        <v>20</v>
      </c>
    </row>
    <row r="663" spans="1:13" x14ac:dyDescent="0.3">
      <c r="A663" t="s">
        <v>691</v>
      </c>
      <c r="B663" t="s">
        <v>40</v>
      </c>
      <c r="C663" t="s">
        <v>32</v>
      </c>
      <c r="D663">
        <v>1.73</v>
      </c>
      <c r="E663">
        <v>30</v>
      </c>
      <c r="F663">
        <v>4.05</v>
      </c>
      <c r="G663">
        <v>93</v>
      </c>
      <c r="H663" s="1">
        <v>45007.923611111109</v>
      </c>
      <c r="I663" s="1">
        <v>45007.944444444445</v>
      </c>
      <c r="J663" s="1">
        <v>45007.938888888886</v>
      </c>
      <c r="K663" s="1">
        <v>45007.959722222222</v>
      </c>
      <c r="L663" t="s">
        <v>19</v>
      </c>
      <c r="M663" t="s">
        <v>20</v>
      </c>
    </row>
    <row r="664" spans="1:13" x14ac:dyDescent="0.3">
      <c r="A664" t="s">
        <v>692</v>
      </c>
      <c r="B664" t="s">
        <v>40</v>
      </c>
      <c r="C664" t="s">
        <v>27</v>
      </c>
      <c r="D664">
        <v>1.83</v>
      </c>
      <c r="E664">
        <v>112</v>
      </c>
      <c r="F664">
        <v>9.51</v>
      </c>
      <c r="G664">
        <v>80</v>
      </c>
      <c r="H664" s="1">
        <v>45007.930555555555</v>
      </c>
      <c r="I664" s="1">
        <v>45008.008333333331</v>
      </c>
      <c r="J664" s="1">
        <v>45007.94027777778</v>
      </c>
      <c r="K664" s="1">
        <v>45008.018055555556</v>
      </c>
      <c r="L664" t="s">
        <v>19</v>
      </c>
      <c r="M664" t="s">
        <v>20</v>
      </c>
    </row>
    <row r="665" spans="1:13" x14ac:dyDescent="0.3">
      <c r="A665" t="s">
        <v>693</v>
      </c>
      <c r="B665" t="s">
        <v>34</v>
      </c>
      <c r="C665" t="s">
        <v>23</v>
      </c>
      <c r="D665">
        <v>4.8600000000000003</v>
      </c>
      <c r="E665">
        <v>97</v>
      </c>
      <c r="F665">
        <v>2.25</v>
      </c>
      <c r="G665">
        <v>86</v>
      </c>
      <c r="H665" s="1">
        <v>45007.9375</v>
      </c>
      <c r="I665" s="1">
        <v>45008.004861111112</v>
      </c>
      <c r="J665" s="1">
        <v>45007.938194444447</v>
      </c>
      <c r="K665" s="1">
        <v>45008.005555555559</v>
      </c>
      <c r="L665" t="s">
        <v>16</v>
      </c>
      <c r="M665" t="s">
        <v>43</v>
      </c>
    </row>
    <row r="666" spans="1:13" x14ac:dyDescent="0.3">
      <c r="A666" t="s">
        <v>694</v>
      </c>
      <c r="B666" t="s">
        <v>30</v>
      </c>
      <c r="C666" t="s">
        <v>27</v>
      </c>
      <c r="D666">
        <v>1.1200000000000001</v>
      </c>
      <c r="E666">
        <v>45</v>
      </c>
      <c r="F666">
        <v>7.92</v>
      </c>
      <c r="G666">
        <v>97</v>
      </c>
      <c r="H666" s="1">
        <v>45007.944444444445</v>
      </c>
      <c r="I666" s="1">
        <v>45007.975694444445</v>
      </c>
      <c r="J666" s="1">
        <v>45007.944444444445</v>
      </c>
      <c r="K666" s="1">
        <v>45007.975694444445</v>
      </c>
      <c r="L666" t="s">
        <v>16</v>
      </c>
      <c r="M666" t="s">
        <v>28</v>
      </c>
    </row>
    <row r="667" spans="1:13" x14ac:dyDescent="0.3">
      <c r="A667" t="s">
        <v>695</v>
      </c>
      <c r="B667" t="s">
        <v>14</v>
      </c>
      <c r="C667" t="s">
        <v>23</v>
      </c>
      <c r="D667">
        <v>2.92</v>
      </c>
      <c r="E667">
        <v>71</v>
      </c>
      <c r="F667">
        <v>2.99</v>
      </c>
      <c r="G667">
        <v>97</v>
      </c>
      <c r="H667" s="1">
        <v>45007.951388888891</v>
      </c>
      <c r="I667" s="1">
        <v>45008.000694444447</v>
      </c>
      <c r="J667" s="1">
        <v>45007.949305555558</v>
      </c>
      <c r="K667" s="1">
        <v>45007.998611111114</v>
      </c>
      <c r="L667" t="s">
        <v>16</v>
      </c>
      <c r="M667" t="s">
        <v>20</v>
      </c>
    </row>
    <row r="668" spans="1:13" x14ac:dyDescent="0.3">
      <c r="A668" t="s">
        <v>696</v>
      </c>
      <c r="B668" t="s">
        <v>14</v>
      </c>
      <c r="C668" t="s">
        <v>32</v>
      </c>
      <c r="D668">
        <v>2.63</v>
      </c>
      <c r="E668">
        <v>71</v>
      </c>
      <c r="F668">
        <v>6.57</v>
      </c>
      <c r="G668">
        <v>97</v>
      </c>
      <c r="H668" s="1">
        <v>45007.958333333336</v>
      </c>
      <c r="I668" s="1">
        <v>45008.007638888892</v>
      </c>
      <c r="J668" s="1">
        <v>45007.961111111108</v>
      </c>
      <c r="K668" s="1">
        <v>45008.010416666664</v>
      </c>
      <c r="L668" t="s">
        <v>16</v>
      </c>
      <c r="M668" t="s">
        <v>28</v>
      </c>
    </row>
    <row r="669" spans="1:13" x14ac:dyDescent="0.3">
      <c r="A669" t="s">
        <v>697</v>
      </c>
      <c r="B669" t="s">
        <v>14</v>
      </c>
      <c r="C669" t="s">
        <v>23</v>
      </c>
      <c r="D669">
        <v>3.36</v>
      </c>
      <c r="E669">
        <v>29</v>
      </c>
      <c r="F669">
        <v>11.77</v>
      </c>
      <c r="G669">
        <v>94</v>
      </c>
      <c r="H669" s="1">
        <v>45007.965277777781</v>
      </c>
      <c r="I669" s="1">
        <v>45007.98541666667</v>
      </c>
      <c r="J669" s="1">
        <v>45007.962500000001</v>
      </c>
      <c r="K669" s="1">
        <v>45007.982638888891</v>
      </c>
      <c r="L669" t="s">
        <v>16</v>
      </c>
      <c r="M669" t="s">
        <v>20</v>
      </c>
    </row>
    <row r="670" spans="1:13" x14ac:dyDescent="0.3">
      <c r="A670" t="s">
        <v>698</v>
      </c>
      <c r="B670" t="s">
        <v>40</v>
      </c>
      <c r="C670" t="s">
        <v>23</v>
      </c>
      <c r="D670">
        <v>3.22</v>
      </c>
      <c r="E670">
        <v>39</v>
      </c>
      <c r="F670">
        <v>5.85</v>
      </c>
      <c r="G670">
        <v>94</v>
      </c>
      <c r="H670" s="1">
        <v>45007.972222222219</v>
      </c>
      <c r="I670" s="1">
        <v>45007.999305555553</v>
      </c>
      <c r="J670" s="1">
        <v>45007.96875</v>
      </c>
      <c r="K670" s="1">
        <v>45007.995833333334</v>
      </c>
      <c r="L670" t="s">
        <v>16</v>
      </c>
      <c r="M670" t="s">
        <v>20</v>
      </c>
    </row>
    <row r="671" spans="1:13" x14ac:dyDescent="0.3">
      <c r="A671" t="s">
        <v>699</v>
      </c>
      <c r="B671" t="s">
        <v>14</v>
      </c>
      <c r="C671" t="s">
        <v>15</v>
      </c>
      <c r="D671">
        <v>4.21</v>
      </c>
      <c r="E671">
        <v>84</v>
      </c>
      <c r="F671">
        <v>10.61</v>
      </c>
      <c r="G671">
        <v>91</v>
      </c>
      <c r="H671" s="1">
        <v>45007.979166666664</v>
      </c>
      <c r="I671" s="1">
        <v>45008.037499999999</v>
      </c>
      <c r="J671" s="1">
        <v>45007.979861111111</v>
      </c>
      <c r="K671" s="1">
        <v>45008.038194444445</v>
      </c>
      <c r="L671" t="s">
        <v>16</v>
      </c>
      <c r="M671" t="s">
        <v>17</v>
      </c>
    </row>
    <row r="672" spans="1:13" x14ac:dyDescent="0.3">
      <c r="A672" t="s">
        <v>700</v>
      </c>
      <c r="B672" t="s">
        <v>30</v>
      </c>
      <c r="C672" t="s">
        <v>36</v>
      </c>
      <c r="D672">
        <v>3</v>
      </c>
      <c r="E672">
        <v>116</v>
      </c>
      <c r="F672">
        <v>8.84</v>
      </c>
      <c r="G672">
        <v>91</v>
      </c>
      <c r="H672" s="1">
        <v>45007.986111111109</v>
      </c>
      <c r="I672" s="1">
        <v>45008.066666666666</v>
      </c>
      <c r="J672" s="1">
        <v>45007.986111111109</v>
      </c>
      <c r="K672" s="1">
        <v>45008.066666666666</v>
      </c>
      <c r="L672" t="s">
        <v>16</v>
      </c>
      <c r="M672" t="s">
        <v>28</v>
      </c>
    </row>
    <row r="673" spans="1:13" x14ac:dyDescent="0.3">
      <c r="A673" t="s">
        <v>701</v>
      </c>
      <c r="B673" t="s">
        <v>30</v>
      </c>
      <c r="C673" t="s">
        <v>15</v>
      </c>
      <c r="D673">
        <v>1.72</v>
      </c>
      <c r="E673">
        <v>30</v>
      </c>
      <c r="F673">
        <v>7.5</v>
      </c>
      <c r="G673">
        <v>81</v>
      </c>
      <c r="H673" s="1">
        <v>45007.993055555555</v>
      </c>
      <c r="I673" s="1">
        <v>45008.013888888891</v>
      </c>
      <c r="J673" s="1">
        <v>45008</v>
      </c>
      <c r="K673" s="1">
        <v>45008.020833333336</v>
      </c>
      <c r="L673" t="s">
        <v>19</v>
      </c>
      <c r="M673" t="s">
        <v>20</v>
      </c>
    </row>
    <row r="674" spans="1:13" x14ac:dyDescent="0.3">
      <c r="A674" t="s">
        <v>702</v>
      </c>
      <c r="B674" t="s">
        <v>30</v>
      </c>
      <c r="C674" t="s">
        <v>15</v>
      </c>
      <c r="D674">
        <v>2.4300000000000002</v>
      </c>
      <c r="E674">
        <v>102</v>
      </c>
      <c r="F674">
        <v>9.49</v>
      </c>
      <c r="G674">
        <v>84</v>
      </c>
      <c r="H674" s="1">
        <v>45008</v>
      </c>
      <c r="I674" s="1">
        <v>45008.070833333331</v>
      </c>
      <c r="J674" s="1">
        <v>45008.006944444445</v>
      </c>
      <c r="K674" s="1">
        <v>45008.077777777777</v>
      </c>
      <c r="L674" t="s">
        <v>19</v>
      </c>
      <c r="M674" t="s">
        <v>20</v>
      </c>
    </row>
    <row r="675" spans="1:13" x14ac:dyDescent="0.3">
      <c r="A675" t="s">
        <v>703</v>
      </c>
      <c r="B675" t="s">
        <v>40</v>
      </c>
      <c r="C675" t="s">
        <v>23</v>
      </c>
      <c r="D675">
        <v>4.68</v>
      </c>
      <c r="E675">
        <v>99</v>
      </c>
      <c r="F675">
        <v>6.84</v>
      </c>
      <c r="G675">
        <v>82</v>
      </c>
      <c r="H675" s="1">
        <v>45008.006944444445</v>
      </c>
      <c r="I675" s="1">
        <v>45008.075694444444</v>
      </c>
      <c r="J675" s="1">
        <v>45008.008333333331</v>
      </c>
      <c r="K675" s="1">
        <v>45008.07708333333</v>
      </c>
      <c r="L675" t="s">
        <v>16</v>
      </c>
      <c r="M675" t="s">
        <v>28</v>
      </c>
    </row>
    <row r="676" spans="1:13" x14ac:dyDescent="0.3">
      <c r="A676" t="s">
        <v>704</v>
      </c>
      <c r="B676" t="s">
        <v>40</v>
      </c>
      <c r="C676" t="s">
        <v>15</v>
      </c>
      <c r="D676">
        <v>3.67</v>
      </c>
      <c r="E676">
        <v>25</v>
      </c>
      <c r="F676">
        <v>4.1399999999999997</v>
      </c>
      <c r="G676">
        <v>96</v>
      </c>
      <c r="H676" s="1">
        <v>45008.013888888891</v>
      </c>
      <c r="I676" s="1">
        <v>45008.03125</v>
      </c>
      <c r="L676" t="s">
        <v>24</v>
      </c>
      <c r="M676" t="s">
        <v>20</v>
      </c>
    </row>
    <row r="677" spans="1:13" x14ac:dyDescent="0.3">
      <c r="A677" t="s">
        <v>705</v>
      </c>
      <c r="B677" t="s">
        <v>14</v>
      </c>
      <c r="C677" t="s">
        <v>32</v>
      </c>
      <c r="D677">
        <v>1.37</v>
      </c>
      <c r="E677">
        <v>108</v>
      </c>
      <c r="F677">
        <v>12.39</v>
      </c>
      <c r="G677">
        <v>83</v>
      </c>
      <c r="H677" s="1">
        <v>45008.020833333336</v>
      </c>
      <c r="I677" s="1">
        <v>45008.095833333333</v>
      </c>
      <c r="J677" s="1">
        <v>45008.032638888886</v>
      </c>
      <c r="K677" s="1">
        <v>45008.107638888891</v>
      </c>
      <c r="L677" t="s">
        <v>19</v>
      </c>
      <c r="M677" t="s">
        <v>20</v>
      </c>
    </row>
    <row r="678" spans="1:13" x14ac:dyDescent="0.3">
      <c r="A678" t="s">
        <v>706</v>
      </c>
      <c r="B678" t="s">
        <v>30</v>
      </c>
      <c r="C678" t="s">
        <v>23</v>
      </c>
      <c r="D678">
        <v>4.6100000000000003</v>
      </c>
      <c r="E678">
        <v>111</v>
      </c>
      <c r="F678">
        <v>10.3</v>
      </c>
      <c r="G678">
        <v>89</v>
      </c>
      <c r="H678" s="1">
        <v>45008.027777777781</v>
      </c>
      <c r="I678" s="1">
        <v>45008.104861111111</v>
      </c>
      <c r="J678" s="1">
        <v>45008.044444444444</v>
      </c>
      <c r="K678" s="1">
        <v>45008.121527777781</v>
      </c>
      <c r="L678" t="s">
        <v>19</v>
      </c>
      <c r="M678" t="s">
        <v>20</v>
      </c>
    </row>
    <row r="679" spans="1:13" x14ac:dyDescent="0.3">
      <c r="A679" t="s">
        <v>707</v>
      </c>
      <c r="B679" t="s">
        <v>40</v>
      </c>
      <c r="C679" t="s">
        <v>23</v>
      </c>
      <c r="D679">
        <v>4.05</v>
      </c>
      <c r="E679">
        <v>58</v>
      </c>
      <c r="F679">
        <v>14.55</v>
      </c>
      <c r="G679">
        <v>97</v>
      </c>
      <c r="H679" s="1">
        <v>45008.034722222219</v>
      </c>
      <c r="I679" s="1">
        <v>45008.074999999997</v>
      </c>
      <c r="J679" s="1">
        <v>45008.050694444442</v>
      </c>
      <c r="K679" s="1">
        <v>45008.09097222222</v>
      </c>
      <c r="L679" t="s">
        <v>19</v>
      </c>
      <c r="M679" t="s">
        <v>20</v>
      </c>
    </row>
    <row r="680" spans="1:13" x14ac:dyDescent="0.3">
      <c r="A680" t="s">
        <v>708</v>
      </c>
      <c r="B680" t="s">
        <v>14</v>
      </c>
      <c r="C680" t="s">
        <v>36</v>
      </c>
      <c r="D680">
        <v>1.65</v>
      </c>
      <c r="E680">
        <v>76</v>
      </c>
      <c r="F680">
        <v>10.69</v>
      </c>
      <c r="G680">
        <v>88</v>
      </c>
      <c r="H680" s="1">
        <v>45008.041666666664</v>
      </c>
      <c r="I680" s="1">
        <v>45008.094444444447</v>
      </c>
      <c r="J680" s="1">
        <v>45008.040277777778</v>
      </c>
      <c r="K680" s="1">
        <v>45008.093055555553</v>
      </c>
      <c r="L680" t="s">
        <v>16</v>
      </c>
      <c r="M680" t="s">
        <v>20</v>
      </c>
    </row>
    <row r="681" spans="1:13" x14ac:dyDescent="0.3">
      <c r="A681" t="s">
        <v>709</v>
      </c>
      <c r="B681" t="s">
        <v>30</v>
      </c>
      <c r="C681" t="s">
        <v>23</v>
      </c>
      <c r="D681">
        <v>3.12</v>
      </c>
      <c r="E681">
        <v>24</v>
      </c>
      <c r="F681">
        <v>11.09</v>
      </c>
      <c r="G681">
        <v>86</v>
      </c>
      <c r="H681" s="1">
        <v>45008.048611111109</v>
      </c>
      <c r="I681" s="1">
        <v>45008.06527777778</v>
      </c>
      <c r="J681" s="1">
        <v>45008.05</v>
      </c>
      <c r="K681" s="1">
        <v>45008.066666666666</v>
      </c>
      <c r="L681" t="s">
        <v>16</v>
      </c>
      <c r="M681" t="s">
        <v>17</v>
      </c>
    </row>
    <row r="682" spans="1:13" x14ac:dyDescent="0.3">
      <c r="A682" t="s">
        <v>710</v>
      </c>
      <c r="B682" t="s">
        <v>22</v>
      </c>
      <c r="C682" t="s">
        <v>15</v>
      </c>
      <c r="D682">
        <v>4.08</v>
      </c>
      <c r="E682">
        <v>67</v>
      </c>
      <c r="F682">
        <v>11.06</v>
      </c>
      <c r="G682">
        <v>81</v>
      </c>
      <c r="H682" s="1">
        <v>45008.055555555555</v>
      </c>
      <c r="I682" s="1">
        <v>45008.102083333331</v>
      </c>
      <c r="J682" s="1">
        <v>45008.052777777775</v>
      </c>
      <c r="K682" s="1">
        <v>45008.099305555559</v>
      </c>
      <c r="L682" t="s">
        <v>16</v>
      </c>
      <c r="M682" t="s">
        <v>20</v>
      </c>
    </row>
    <row r="683" spans="1:13" x14ac:dyDescent="0.3">
      <c r="A683" t="s">
        <v>711</v>
      </c>
      <c r="B683" t="s">
        <v>40</v>
      </c>
      <c r="C683" t="s">
        <v>32</v>
      </c>
      <c r="D683">
        <v>1.73</v>
      </c>
      <c r="E683">
        <v>46</v>
      </c>
      <c r="F683">
        <v>4.04</v>
      </c>
      <c r="G683">
        <v>85</v>
      </c>
      <c r="H683" s="1">
        <v>45008.0625</v>
      </c>
      <c r="I683" s="1">
        <v>45008.094444444447</v>
      </c>
      <c r="J683" s="1">
        <v>45008.05972222222</v>
      </c>
      <c r="K683" s="1">
        <v>45008.091666666667</v>
      </c>
      <c r="L683" t="s">
        <v>16</v>
      </c>
      <c r="M683" t="s">
        <v>20</v>
      </c>
    </row>
    <row r="684" spans="1:13" x14ac:dyDescent="0.3">
      <c r="A684" t="s">
        <v>712</v>
      </c>
      <c r="B684" t="s">
        <v>22</v>
      </c>
      <c r="C684" t="s">
        <v>15</v>
      </c>
      <c r="D684">
        <v>2.2200000000000002</v>
      </c>
      <c r="E684">
        <v>46</v>
      </c>
      <c r="F684">
        <v>6.99</v>
      </c>
      <c r="G684">
        <v>90</v>
      </c>
      <c r="H684" s="1">
        <v>45008.069444444445</v>
      </c>
      <c r="I684" s="1">
        <v>45008.101388888892</v>
      </c>
      <c r="J684" s="1">
        <v>45008.065972222219</v>
      </c>
      <c r="K684" s="1">
        <v>45008.097916666666</v>
      </c>
      <c r="L684" t="s">
        <v>16</v>
      </c>
      <c r="M684" t="s">
        <v>20</v>
      </c>
    </row>
    <row r="685" spans="1:13" x14ac:dyDescent="0.3">
      <c r="A685" t="s">
        <v>713</v>
      </c>
      <c r="B685" t="s">
        <v>40</v>
      </c>
      <c r="C685" t="s">
        <v>15</v>
      </c>
      <c r="D685">
        <v>1.46</v>
      </c>
      <c r="E685">
        <v>28</v>
      </c>
      <c r="F685">
        <v>13.43</v>
      </c>
      <c r="G685">
        <v>96</v>
      </c>
      <c r="H685" s="1">
        <v>45008.076388888891</v>
      </c>
      <c r="I685" s="1">
        <v>45008.095833333333</v>
      </c>
      <c r="J685" s="1">
        <v>45008.073611111111</v>
      </c>
      <c r="K685" s="1">
        <v>45008.093055555553</v>
      </c>
      <c r="L685" t="s">
        <v>16</v>
      </c>
      <c r="M685" t="s">
        <v>20</v>
      </c>
    </row>
    <row r="686" spans="1:13" x14ac:dyDescent="0.3">
      <c r="A686" t="s">
        <v>714</v>
      </c>
      <c r="B686" t="s">
        <v>40</v>
      </c>
      <c r="C686" t="s">
        <v>23</v>
      </c>
      <c r="D686">
        <v>4.3899999999999997</v>
      </c>
      <c r="E686">
        <v>81</v>
      </c>
      <c r="F686">
        <v>10.4</v>
      </c>
      <c r="G686">
        <v>91</v>
      </c>
      <c r="H686" s="1">
        <v>45008.083333333336</v>
      </c>
      <c r="I686" s="1">
        <v>45008.13958333333</v>
      </c>
      <c r="J686" s="1">
        <v>45008.084027777775</v>
      </c>
      <c r="K686" s="1">
        <v>45008.140277777777</v>
      </c>
      <c r="L686" t="s">
        <v>16</v>
      </c>
      <c r="M686" t="s">
        <v>17</v>
      </c>
    </row>
    <row r="687" spans="1:13" x14ac:dyDescent="0.3">
      <c r="A687" t="s">
        <v>715</v>
      </c>
      <c r="B687" t="s">
        <v>40</v>
      </c>
      <c r="C687" t="s">
        <v>32</v>
      </c>
      <c r="D687">
        <v>4.76</v>
      </c>
      <c r="E687">
        <v>37</v>
      </c>
      <c r="F687">
        <v>5.0199999999999996</v>
      </c>
      <c r="G687">
        <v>98</v>
      </c>
      <c r="H687" s="1">
        <v>45008.090277777781</v>
      </c>
      <c r="I687" s="1">
        <v>45008.115972222222</v>
      </c>
      <c r="J687" s="1">
        <v>45008.09375</v>
      </c>
      <c r="K687" s="1">
        <v>45008.119444444441</v>
      </c>
      <c r="L687" t="s">
        <v>16</v>
      </c>
      <c r="M687" t="s">
        <v>28</v>
      </c>
    </row>
    <row r="688" spans="1:13" x14ac:dyDescent="0.3">
      <c r="A688" t="s">
        <v>716</v>
      </c>
      <c r="B688" t="s">
        <v>30</v>
      </c>
      <c r="C688" t="s">
        <v>36</v>
      </c>
      <c r="D688">
        <v>1.84</v>
      </c>
      <c r="E688">
        <v>78</v>
      </c>
      <c r="F688">
        <v>11.24</v>
      </c>
      <c r="G688">
        <v>82</v>
      </c>
      <c r="H688" s="1">
        <v>45008.097222222219</v>
      </c>
      <c r="I688" s="1">
        <v>45008.151388888888</v>
      </c>
      <c r="L688" t="s">
        <v>24</v>
      </c>
      <c r="M688" t="s">
        <v>20</v>
      </c>
    </row>
    <row r="689" spans="1:13" x14ac:dyDescent="0.3">
      <c r="A689" t="s">
        <v>717</v>
      </c>
      <c r="B689" t="s">
        <v>14</v>
      </c>
      <c r="C689" t="s">
        <v>32</v>
      </c>
      <c r="D689">
        <v>4.75</v>
      </c>
      <c r="E689">
        <v>62</v>
      </c>
      <c r="F689">
        <v>7.47</v>
      </c>
      <c r="G689">
        <v>89</v>
      </c>
      <c r="H689" s="1">
        <v>45008.104166666664</v>
      </c>
      <c r="I689" s="1">
        <v>45008.147222222222</v>
      </c>
      <c r="J689" s="1">
        <v>45008.102777777778</v>
      </c>
      <c r="K689" s="1">
        <v>45008.145833333336</v>
      </c>
      <c r="L689" t="s">
        <v>16</v>
      </c>
      <c r="M689" t="s">
        <v>20</v>
      </c>
    </row>
    <row r="690" spans="1:13" x14ac:dyDescent="0.3">
      <c r="A690" t="s">
        <v>718</v>
      </c>
      <c r="B690" t="s">
        <v>40</v>
      </c>
      <c r="C690" t="s">
        <v>27</v>
      </c>
      <c r="D690">
        <v>1.17</v>
      </c>
      <c r="E690">
        <v>25</v>
      </c>
      <c r="F690">
        <v>5.92</v>
      </c>
      <c r="G690">
        <v>85</v>
      </c>
      <c r="H690" s="1">
        <v>45008.111111111109</v>
      </c>
      <c r="I690" s="1">
        <v>45008.128472222219</v>
      </c>
      <c r="J690" s="1">
        <v>45008.113888888889</v>
      </c>
      <c r="K690" s="1">
        <v>45008.131249999999</v>
      </c>
      <c r="L690" t="s">
        <v>16</v>
      </c>
      <c r="M690" t="s">
        <v>28</v>
      </c>
    </row>
    <row r="691" spans="1:13" x14ac:dyDescent="0.3">
      <c r="A691" t="s">
        <v>719</v>
      </c>
      <c r="B691" t="s">
        <v>34</v>
      </c>
      <c r="C691" t="s">
        <v>27</v>
      </c>
      <c r="D691">
        <v>3.73</v>
      </c>
      <c r="E691">
        <v>40</v>
      </c>
      <c r="F691">
        <v>10.82</v>
      </c>
      <c r="G691">
        <v>94</v>
      </c>
      <c r="H691" s="1">
        <v>45008.118055555555</v>
      </c>
      <c r="I691" s="1">
        <v>45008.145833333336</v>
      </c>
      <c r="J691" s="1">
        <v>45008.127083333333</v>
      </c>
      <c r="K691" s="1">
        <v>45008.154861111114</v>
      </c>
      <c r="L691" t="s">
        <v>19</v>
      </c>
      <c r="M691" t="s">
        <v>20</v>
      </c>
    </row>
    <row r="692" spans="1:13" x14ac:dyDescent="0.3">
      <c r="A692" t="s">
        <v>720</v>
      </c>
      <c r="B692" t="s">
        <v>34</v>
      </c>
      <c r="C692" t="s">
        <v>32</v>
      </c>
      <c r="D692">
        <v>3.48</v>
      </c>
      <c r="E692">
        <v>87</v>
      </c>
      <c r="F692">
        <v>4.38</v>
      </c>
      <c r="G692">
        <v>97</v>
      </c>
      <c r="H692" s="1">
        <v>45008.125</v>
      </c>
      <c r="I692" s="1">
        <v>45008.185416666667</v>
      </c>
      <c r="J692" s="1">
        <v>45008.12222222222</v>
      </c>
      <c r="K692" s="1">
        <v>45008.182638888888</v>
      </c>
      <c r="L692" t="s">
        <v>16</v>
      </c>
      <c r="M692" t="s">
        <v>20</v>
      </c>
    </row>
    <row r="693" spans="1:13" x14ac:dyDescent="0.3">
      <c r="A693" t="s">
        <v>721</v>
      </c>
      <c r="B693" t="s">
        <v>14</v>
      </c>
      <c r="C693" t="s">
        <v>36</v>
      </c>
      <c r="D693">
        <v>4.66</v>
      </c>
      <c r="E693">
        <v>83</v>
      </c>
      <c r="F693">
        <v>4.07</v>
      </c>
      <c r="G693">
        <v>89</v>
      </c>
      <c r="H693" s="1">
        <v>45008.131944444445</v>
      </c>
      <c r="I693" s="1">
        <v>45008.189583333333</v>
      </c>
      <c r="J693" s="1">
        <v>45008.132638888892</v>
      </c>
      <c r="K693" s="1">
        <v>45008.19027777778</v>
      </c>
      <c r="L693" t="s">
        <v>16</v>
      </c>
      <c r="M693" t="s">
        <v>28</v>
      </c>
    </row>
    <row r="694" spans="1:13" x14ac:dyDescent="0.3">
      <c r="A694" t="s">
        <v>722</v>
      </c>
      <c r="B694" t="s">
        <v>40</v>
      </c>
      <c r="C694" t="s">
        <v>27</v>
      </c>
      <c r="D694">
        <v>4.51</v>
      </c>
      <c r="E694">
        <v>59</v>
      </c>
      <c r="F694">
        <v>3.23</v>
      </c>
      <c r="G694">
        <v>85</v>
      </c>
      <c r="H694" s="1">
        <v>45008.138888888891</v>
      </c>
      <c r="I694" s="1">
        <v>45008.179861111108</v>
      </c>
      <c r="J694" s="1">
        <v>45008.135416666664</v>
      </c>
      <c r="K694" s="1">
        <v>45008.176388888889</v>
      </c>
      <c r="L694" t="s">
        <v>16</v>
      </c>
      <c r="M694" t="s">
        <v>20</v>
      </c>
    </row>
    <row r="695" spans="1:13" x14ac:dyDescent="0.3">
      <c r="A695" t="s">
        <v>723</v>
      </c>
      <c r="B695" t="s">
        <v>14</v>
      </c>
      <c r="C695" t="s">
        <v>36</v>
      </c>
      <c r="D695">
        <v>2.77</v>
      </c>
      <c r="E695">
        <v>23</v>
      </c>
      <c r="F695">
        <v>9.15</v>
      </c>
      <c r="G695">
        <v>94</v>
      </c>
      <c r="H695" s="1">
        <v>45008.145833333336</v>
      </c>
      <c r="I695" s="1">
        <v>45008.161805555559</v>
      </c>
      <c r="J695" s="1">
        <v>45008.148611111108</v>
      </c>
      <c r="K695" s="1">
        <v>45008.164583333331</v>
      </c>
      <c r="L695" t="s">
        <v>16</v>
      </c>
      <c r="M695" t="s">
        <v>17</v>
      </c>
    </row>
    <row r="696" spans="1:13" x14ac:dyDescent="0.3">
      <c r="A696" t="s">
        <v>724</v>
      </c>
      <c r="B696" t="s">
        <v>14</v>
      </c>
      <c r="C696" t="s">
        <v>32</v>
      </c>
      <c r="D696">
        <v>3.71</v>
      </c>
      <c r="E696">
        <v>80</v>
      </c>
      <c r="F696">
        <v>8.73</v>
      </c>
      <c r="G696">
        <v>96</v>
      </c>
      <c r="H696" s="1">
        <v>45008.152777777781</v>
      </c>
      <c r="I696" s="1">
        <v>45008.208333333336</v>
      </c>
      <c r="J696" s="1">
        <v>45008.17291666667</v>
      </c>
      <c r="K696" s="1">
        <v>45008.228472222225</v>
      </c>
      <c r="L696" t="s">
        <v>19</v>
      </c>
      <c r="M696" t="s">
        <v>20</v>
      </c>
    </row>
    <row r="697" spans="1:13" x14ac:dyDescent="0.3">
      <c r="A697" t="s">
        <v>725</v>
      </c>
      <c r="B697" t="s">
        <v>14</v>
      </c>
      <c r="C697" t="s">
        <v>27</v>
      </c>
      <c r="D697">
        <v>1.81</v>
      </c>
      <c r="E697">
        <v>114</v>
      </c>
      <c r="F697">
        <v>8.34</v>
      </c>
      <c r="G697">
        <v>89</v>
      </c>
      <c r="H697" s="1">
        <v>45008.159722222219</v>
      </c>
      <c r="I697" s="1">
        <v>45008.238888888889</v>
      </c>
      <c r="J697" s="1">
        <v>45008.179166666669</v>
      </c>
      <c r="K697" s="1">
        <v>45008.258333333331</v>
      </c>
      <c r="L697" t="s">
        <v>19</v>
      </c>
      <c r="M697" t="s">
        <v>20</v>
      </c>
    </row>
    <row r="698" spans="1:13" x14ac:dyDescent="0.3">
      <c r="A698" t="s">
        <v>726</v>
      </c>
      <c r="B698" t="s">
        <v>22</v>
      </c>
      <c r="C698" t="s">
        <v>15</v>
      </c>
      <c r="D698">
        <v>2.08</v>
      </c>
      <c r="E698">
        <v>74</v>
      </c>
      <c r="F698">
        <v>7.6</v>
      </c>
      <c r="G698">
        <v>90</v>
      </c>
      <c r="H698" s="1">
        <v>45008.166666666664</v>
      </c>
      <c r="I698" s="1">
        <v>45008.218055555553</v>
      </c>
      <c r="J698" s="1">
        <v>45008.175000000003</v>
      </c>
      <c r="K698" s="1">
        <v>45008.226388888892</v>
      </c>
      <c r="L698" t="s">
        <v>19</v>
      </c>
      <c r="M698" t="s">
        <v>20</v>
      </c>
    </row>
    <row r="699" spans="1:13" x14ac:dyDescent="0.3">
      <c r="A699" t="s">
        <v>727</v>
      </c>
      <c r="B699" t="s">
        <v>34</v>
      </c>
      <c r="C699" t="s">
        <v>32</v>
      </c>
      <c r="D699">
        <v>2.46</v>
      </c>
      <c r="E699">
        <v>56</v>
      </c>
      <c r="F699">
        <v>13.15</v>
      </c>
      <c r="G699">
        <v>82</v>
      </c>
      <c r="H699" s="1">
        <v>45008.173611111109</v>
      </c>
      <c r="I699" s="1">
        <v>45008.212500000001</v>
      </c>
      <c r="J699" s="1">
        <v>45008.1875</v>
      </c>
      <c r="K699" s="1">
        <v>45008.226388888892</v>
      </c>
      <c r="L699" t="s">
        <v>19</v>
      </c>
      <c r="M699" t="s">
        <v>20</v>
      </c>
    </row>
    <row r="700" spans="1:13" x14ac:dyDescent="0.3">
      <c r="A700" t="s">
        <v>728</v>
      </c>
      <c r="B700" t="s">
        <v>40</v>
      </c>
      <c r="C700" t="s">
        <v>27</v>
      </c>
      <c r="D700">
        <v>3.94</v>
      </c>
      <c r="E700">
        <v>60</v>
      </c>
      <c r="F700">
        <v>8.6199999999999992</v>
      </c>
      <c r="G700">
        <v>96</v>
      </c>
      <c r="H700" s="1">
        <v>45008.180555555555</v>
      </c>
      <c r="I700" s="1">
        <v>45008.222222222219</v>
      </c>
      <c r="L700" t="s">
        <v>24</v>
      </c>
      <c r="M700" t="s">
        <v>20</v>
      </c>
    </row>
    <row r="701" spans="1:13" x14ac:dyDescent="0.3">
      <c r="A701" t="s">
        <v>729</v>
      </c>
      <c r="B701" t="s">
        <v>14</v>
      </c>
      <c r="C701" t="s">
        <v>36</v>
      </c>
      <c r="D701">
        <v>3.16</v>
      </c>
      <c r="E701">
        <v>105</v>
      </c>
      <c r="F701">
        <v>8.39</v>
      </c>
      <c r="G701">
        <v>90</v>
      </c>
      <c r="H701" s="1">
        <v>45008.1875</v>
      </c>
      <c r="I701" s="1">
        <v>45008.260416666664</v>
      </c>
      <c r="J701" s="1">
        <v>45008.184027777781</v>
      </c>
      <c r="K701" s="1">
        <v>45008.256944444445</v>
      </c>
      <c r="L701" t="s">
        <v>16</v>
      </c>
      <c r="M701" t="s">
        <v>20</v>
      </c>
    </row>
    <row r="702" spans="1:13" x14ac:dyDescent="0.3">
      <c r="A702" t="s">
        <v>730</v>
      </c>
      <c r="B702" t="s">
        <v>30</v>
      </c>
      <c r="C702" t="s">
        <v>23</v>
      </c>
      <c r="D702">
        <v>2.37</v>
      </c>
      <c r="E702">
        <v>114</v>
      </c>
      <c r="F702">
        <v>6.02</v>
      </c>
      <c r="G702">
        <v>96</v>
      </c>
      <c r="H702" s="1">
        <v>45008.194444444445</v>
      </c>
      <c r="I702" s="1">
        <v>45008.273611111108</v>
      </c>
      <c r="L702" t="s">
        <v>24</v>
      </c>
      <c r="M702" t="s">
        <v>20</v>
      </c>
    </row>
    <row r="703" spans="1:13" x14ac:dyDescent="0.3">
      <c r="A703" t="s">
        <v>731</v>
      </c>
      <c r="B703" t="s">
        <v>34</v>
      </c>
      <c r="C703" t="s">
        <v>27</v>
      </c>
      <c r="D703">
        <v>3.85</v>
      </c>
      <c r="E703">
        <v>45</v>
      </c>
      <c r="F703">
        <v>14.9</v>
      </c>
      <c r="G703">
        <v>94</v>
      </c>
      <c r="H703" s="1">
        <v>45008.201388888891</v>
      </c>
      <c r="I703" s="1">
        <v>45008.232638888891</v>
      </c>
      <c r="J703" s="1">
        <v>45008.209722222222</v>
      </c>
      <c r="K703" s="1">
        <v>45008.240972222222</v>
      </c>
      <c r="L703" t="s">
        <v>19</v>
      </c>
      <c r="M703" t="s">
        <v>20</v>
      </c>
    </row>
    <row r="704" spans="1:13" x14ac:dyDescent="0.3">
      <c r="A704" t="s">
        <v>732</v>
      </c>
      <c r="B704" t="s">
        <v>14</v>
      </c>
      <c r="C704" t="s">
        <v>23</v>
      </c>
      <c r="D704">
        <v>1.08</v>
      </c>
      <c r="E704">
        <v>41</v>
      </c>
      <c r="F704">
        <v>7.52</v>
      </c>
      <c r="G704">
        <v>99</v>
      </c>
      <c r="H704" s="1">
        <v>45008.208333333336</v>
      </c>
      <c r="I704" s="1">
        <v>45008.236805555556</v>
      </c>
      <c r="J704" s="1">
        <v>45008.211805555555</v>
      </c>
      <c r="K704" s="1">
        <v>45008.240277777775</v>
      </c>
      <c r="L704" t="s">
        <v>16</v>
      </c>
      <c r="M704" t="s">
        <v>17</v>
      </c>
    </row>
    <row r="705" spans="1:13" x14ac:dyDescent="0.3">
      <c r="A705" t="s">
        <v>733</v>
      </c>
      <c r="B705" t="s">
        <v>34</v>
      </c>
      <c r="C705" t="s">
        <v>27</v>
      </c>
      <c r="D705">
        <v>4.0999999999999996</v>
      </c>
      <c r="E705">
        <v>39</v>
      </c>
      <c r="F705">
        <v>9.1300000000000008</v>
      </c>
      <c r="G705">
        <v>87</v>
      </c>
      <c r="H705" s="1">
        <v>45008.215277777781</v>
      </c>
      <c r="I705" s="1">
        <v>45008.242361111108</v>
      </c>
      <c r="J705" s="1">
        <v>45008.226388888892</v>
      </c>
      <c r="K705" s="1">
        <v>45008.253472222219</v>
      </c>
      <c r="L705" t="s">
        <v>19</v>
      </c>
      <c r="M705" t="s">
        <v>20</v>
      </c>
    </row>
    <row r="706" spans="1:13" x14ac:dyDescent="0.3">
      <c r="A706" t="s">
        <v>734</v>
      </c>
      <c r="B706" t="s">
        <v>40</v>
      </c>
      <c r="C706" t="s">
        <v>27</v>
      </c>
      <c r="D706">
        <v>3.45</v>
      </c>
      <c r="E706">
        <v>85</v>
      </c>
      <c r="F706">
        <v>5.62</v>
      </c>
      <c r="G706">
        <v>93</v>
      </c>
      <c r="H706" s="1">
        <v>45008.222222222219</v>
      </c>
      <c r="I706" s="1">
        <v>45008.28125</v>
      </c>
      <c r="L706" t="s">
        <v>24</v>
      </c>
      <c r="M706" t="s">
        <v>20</v>
      </c>
    </row>
    <row r="707" spans="1:13" x14ac:dyDescent="0.3">
      <c r="A707" t="s">
        <v>735</v>
      </c>
      <c r="B707" t="s">
        <v>40</v>
      </c>
      <c r="C707" t="s">
        <v>36</v>
      </c>
      <c r="D707">
        <v>1.2</v>
      </c>
      <c r="E707">
        <v>85</v>
      </c>
      <c r="F707">
        <v>8.14</v>
      </c>
      <c r="G707">
        <v>86</v>
      </c>
      <c r="H707" s="1">
        <v>45008.229166666664</v>
      </c>
      <c r="I707" s="1">
        <v>45008.288194444445</v>
      </c>
      <c r="J707" s="1">
        <v>45008.228472222225</v>
      </c>
      <c r="K707" s="1">
        <v>45008.287499999999</v>
      </c>
      <c r="L707" t="s">
        <v>16</v>
      </c>
      <c r="M707" t="s">
        <v>20</v>
      </c>
    </row>
    <row r="708" spans="1:13" x14ac:dyDescent="0.3">
      <c r="A708" t="s">
        <v>736</v>
      </c>
      <c r="B708" t="s">
        <v>22</v>
      </c>
      <c r="C708" t="s">
        <v>32</v>
      </c>
      <c r="D708">
        <v>4.7699999999999996</v>
      </c>
      <c r="E708">
        <v>41</v>
      </c>
      <c r="F708">
        <v>6.24</v>
      </c>
      <c r="G708">
        <v>95</v>
      </c>
      <c r="H708" s="1">
        <v>45008.236111111109</v>
      </c>
      <c r="I708" s="1">
        <v>45008.26458333333</v>
      </c>
      <c r="J708" s="1">
        <v>45008.244444444441</v>
      </c>
      <c r="K708" s="1">
        <v>45008.272916666669</v>
      </c>
      <c r="L708" t="s">
        <v>19</v>
      </c>
      <c r="M708" t="s">
        <v>20</v>
      </c>
    </row>
    <row r="709" spans="1:13" x14ac:dyDescent="0.3">
      <c r="A709" t="s">
        <v>737</v>
      </c>
      <c r="B709" t="s">
        <v>34</v>
      </c>
      <c r="C709" t="s">
        <v>27</v>
      </c>
      <c r="D709">
        <v>4.7300000000000004</v>
      </c>
      <c r="E709">
        <v>94</v>
      </c>
      <c r="F709">
        <v>6.32</v>
      </c>
      <c r="G709">
        <v>91</v>
      </c>
      <c r="H709" s="1">
        <v>45008.243055555555</v>
      </c>
      <c r="I709" s="1">
        <v>45008.308333333334</v>
      </c>
      <c r="J709" s="1">
        <v>45008.262499999997</v>
      </c>
      <c r="K709" s="1">
        <v>45008.327777777777</v>
      </c>
      <c r="L709" t="s">
        <v>19</v>
      </c>
      <c r="M709" t="s">
        <v>20</v>
      </c>
    </row>
    <row r="710" spans="1:13" x14ac:dyDescent="0.3">
      <c r="A710" t="s">
        <v>738</v>
      </c>
      <c r="B710" t="s">
        <v>22</v>
      </c>
      <c r="C710" t="s">
        <v>27</v>
      </c>
      <c r="D710">
        <v>4.37</v>
      </c>
      <c r="E710">
        <v>81</v>
      </c>
      <c r="F710">
        <v>13.22</v>
      </c>
      <c r="G710">
        <v>85</v>
      </c>
      <c r="H710" s="1">
        <v>45008.25</v>
      </c>
      <c r="I710" s="1">
        <v>45008.306250000001</v>
      </c>
      <c r="L710" t="s">
        <v>24</v>
      </c>
      <c r="M710" t="s">
        <v>20</v>
      </c>
    </row>
    <row r="711" spans="1:13" x14ac:dyDescent="0.3">
      <c r="A711" t="s">
        <v>739</v>
      </c>
      <c r="B711" t="s">
        <v>30</v>
      </c>
      <c r="C711" t="s">
        <v>15</v>
      </c>
      <c r="D711">
        <v>1.76</v>
      </c>
      <c r="E711">
        <v>77</v>
      </c>
      <c r="F711">
        <v>12.33</v>
      </c>
      <c r="G711">
        <v>92</v>
      </c>
      <c r="H711" s="1">
        <v>45008.256944444445</v>
      </c>
      <c r="I711" s="1">
        <v>45008.310416666667</v>
      </c>
      <c r="J711" s="1">
        <v>45008.255555555559</v>
      </c>
      <c r="K711" s="1">
        <v>45008.309027777781</v>
      </c>
      <c r="L711" t="s">
        <v>16</v>
      </c>
      <c r="M711" t="s">
        <v>20</v>
      </c>
    </row>
    <row r="712" spans="1:13" x14ac:dyDescent="0.3">
      <c r="A712" t="s">
        <v>740</v>
      </c>
      <c r="B712" t="s">
        <v>22</v>
      </c>
      <c r="C712" t="s">
        <v>15</v>
      </c>
      <c r="D712">
        <v>2.54</v>
      </c>
      <c r="E712">
        <v>38</v>
      </c>
      <c r="F712">
        <v>11.54</v>
      </c>
      <c r="G712">
        <v>84</v>
      </c>
      <c r="H712" s="1">
        <v>45008.263888888891</v>
      </c>
      <c r="I712" s="1">
        <v>45008.290277777778</v>
      </c>
      <c r="J712" s="1">
        <v>45008.262499999997</v>
      </c>
      <c r="K712" s="1">
        <v>45008.288888888892</v>
      </c>
      <c r="L712" t="s">
        <v>16</v>
      </c>
      <c r="M712" t="s">
        <v>20</v>
      </c>
    </row>
    <row r="713" spans="1:13" x14ac:dyDescent="0.3">
      <c r="A713" t="s">
        <v>741</v>
      </c>
      <c r="B713" t="s">
        <v>40</v>
      </c>
      <c r="C713" t="s">
        <v>36</v>
      </c>
      <c r="D713">
        <v>1.35</v>
      </c>
      <c r="E713">
        <v>80</v>
      </c>
      <c r="F713">
        <v>12.83</v>
      </c>
      <c r="G713">
        <v>99</v>
      </c>
      <c r="H713" s="1">
        <v>45008.270833333336</v>
      </c>
      <c r="I713" s="1">
        <v>45008.326388888891</v>
      </c>
      <c r="J713" s="1">
        <v>45008.271527777775</v>
      </c>
      <c r="K713" s="1">
        <v>45008.32708333333</v>
      </c>
      <c r="L713" t="s">
        <v>16</v>
      </c>
      <c r="M713" t="s">
        <v>17</v>
      </c>
    </row>
    <row r="714" spans="1:13" x14ac:dyDescent="0.3">
      <c r="A714" t="s">
        <v>742</v>
      </c>
      <c r="B714" t="s">
        <v>34</v>
      </c>
      <c r="C714" t="s">
        <v>32</v>
      </c>
      <c r="D714">
        <v>2.52</v>
      </c>
      <c r="E714">
        <v>80</v>
      </c>
      <c r="F714">
        <v>13.55</v>
      </c>
      <c r="G714">
        <v>81</v>
      </c>
      <c r="H714" s="1">
        <v>45008.277777777781</v>
      </c>
      <c r="I714" s="1">
        <v>45008.333333333336</v>
      </c>
      <c r="L714" t="s">
        <v>24</v>
      </c>
      <c r="M714" t="s">
        <v>20</v>
      </c>
    </row>
    <row r="715" spans="1:13" x14ac:dyDescent="0.3">
      <c r="A715" t="s">
        <v>743</v>
      </c>
      <c r="B715" t="s">
        <v>22</v>
      </c>
      <c r="C715" t="s">
        <v>32</v>
      </c>
      <c r="D715">
        <v>1.5</v>
      </c>
      <c r="E715">
        <v>42</v>
      </c>
      <c r="F715">
        <v>5.4</v>
      </c>
      <c r="G715">
        <v>91</v>
      </c>
      <c r="H715" s="1">
        <v>45008.284722222219</v>
      </c>
      <c r="I715" s="1">
        <v>45008.313888888886</v>
      </c>
      <c r="J715" s="1">
        <v>45008.301388888889</v>
      </c>
      <c r="K715" s="1">
        <v>45008.330555555556</v>
      </c>
      <c r="L715" t="s">
        <v>19</v>
      </c>
      <c r="M715" t="s">
        <v>20</v>
      </c>
    </row>
    <row r="716" spans="1:13" x14ac:dyDescent="0.3">
      <c r="A716" t="s">
        <v>744</v>
      </c>
      <c r="B716" t="s">
        <v>34</v>
      </c>
      <c r="C716" t="s">
        <v>27</v>
      </c>
      <c r="D716">
        <v>4.22</v>
      </c>
      <c r="E716">
        <v>51</v>
      </c>
      <c r="F716">
        <v>4.22</v>
      </c>
      <c r="G716">
        <v>80</v>
      </c>
      <c r="H716" s="1">
        <v>45008.291666666664</v>
      </c>
      <c r="I716" s="1">
        <v>45008.32708333333</v>
      </c>
      <c r="J716" s="1">
        <v>45008.293055555558</v>
      </c>
      <c r="K716" s="1">
        <v>45008.328472222223</v>
      </c>
      <c r="L716" t="s">
        <v>16</v>
      </c>
      <c r="M716" t="s">
        <v>28</v>
      </c>
    </row>
    <row r="717" spans="1:13" x14ac:dyDescent="0.3">
      <c r="A717" t="s">
        <v>745</v>
      </c>
      <c r="B717" t="s">
        <v>34</v>
      </c>
      <c r="C717" t="s">
        <v>23</v>
      </c>
      <c r="D717">
        <v>3.67</v>
      </c>
      <c r="E717">
        <v>27</v>
      </c>
      <c r="F717">
        <v>3.19</v>
      </c>
      <c r="G717">
        <v>85</v>
      </c>
      <c r="H717" s="1">
        <v>45008.298611111109</v>
      </c>
      <c r="I717" s="1">
        <v>45008.317361111112</v>
      </c>
      <c r="J717" s="1">
        <v>45008.301388888889</v>
      </c>
      <c r="K717" s="1">
        <v>45008.320138888892</v>
      </c>
      <c r="L717" t="s">
        <v>16</v>
      </c>
      <c r="M717" t="s">
        <v>28</v>
      </c>
    </row>
    <row r="718" spans="1:13" x14ac:dyDescent="0.3">
      <c r="A718" t="s">
        <v>746</v>
      </c>
      <c r="B718" t="s">
        <v>30</v>
      </c>
      <c r="C718" t="s">
        <v>36</v>
      </c>
      <c r="D718">
        <v>3.22</v>
      </c>
      <c r="E718">
        <v>96</v>
      </c>
      <c r="F718">
        <v>4.28</v>
      </c>
      <c r="G718">
        <v>80</v>
      </c>
      <c r="H718" s="1">
        <v>45008.305555555555</v>
      </c>
      <c r="I718" s="1">
        <v>45008.37222222222</v>
      </c>
      <c r="L718" t="s">
        <v>24</v>
      </c>
      <c r="M718" t="s">
        <v>20</v>
      </c>
    </row>
    <row r="719" spans="1:13" x14ac:dyDescent="0.3">
      <c r="A719" t="s">
        <v>747</v>
      </c>
      <c r="B719" t="s">
        <v>22</v>
      </c>
      <c r="C719" t="s">
        <v>23</v>
      </c>
      <c r="D719">
        <v>1.79</v>
      </c>
      <c r="E719">
        <v>101</v>
      </c>
      <c r="F719">
        <v>5.32</v>
      </c>
      <c r="G719">
        <v>80</v>
      </c>
      <c r="H719" s="1">
        <v>45008.3125</v>
      </c>
      <c r="I719" s="1">
        <v>45008.382638888892</v>
      </c>
      <c r="J719" s="1">
        <v>45008.313194444447</v>
      </c>
      <c r="K719" s="1">
        <v>45008.383333333331</v>
      </c>
      <c r="L719" t="s">
        <v>16</v>
      </c>
      <c r="M719" t="s">
        <v>28</v>
      </c>
    </row>
    <row r="720" spans="1:13" x14ac:dyDescent="0.3">
      <c r="A720" t="s">
        <v>748</v>
      </c>
      <c r="B720" t="s">
        <v>22</v>
      </c>
      <c r="C720" t="s">
        <v>32</v>
      </c>
      <c r="D720">
        <v>3.19</v>
      </c>
      <c r="E720">
        <v>92</v>
      </c>
      <c r="F720">
        <v>4.96</v>
      </c>
      <c r="G720">
        <v>85</v>
      </c>
      <c r="H720" s="1">
        <v>45008.319444444445</v>
      </c>
      <c r="I720" s="1">
        <v>45008.383333333331</v>
      </c>
      <c r="J720" s="1">
        <v>45008.320138888892</v>
      </c>
      <c r="K720" s="1">
        <v>45008.384027777778</v>
      </c>
      <c r="L720" t="s">
        <v>16</v>
      </c>
      <c r="M720" t="s">
        <v>28</v>
      </c>
    </row>
    <row r="721" spans="1:13" x14ac:dyDescent="0.3">
      <c r="A721" t="s">
        <v>749</v>
      </c>
      <c r="B721" t="s">
        <v>14</v>
      </c>
      <c r="C721" t="s">
        <v>23</v>
      </c>
      <c r="D721">
        <v>1.24</v>
      </c>
      <c r="E721">
        <v>91</v>
      </c>
      <c r="F721">
        <v>2.78</v>
      </c>
      <c r="G721">
        <v>86</v>
      </c>
      <c r="H721" s="1">
        <v>45008.326388888891</v>
      </c>
      <c r="I721" s="1">
        <v>45008.38958333333</v>
      </c>
      <c r="J721" s="1">
        <v>45008.324999999997</v>
      </c>
      <c r="K721" s="1">
        <v>45008.388194444444</v>
      </c>
      <c r="L721" t="s">
        <v>16</v>
      </c>
      <c r="M721" t="s">
        <v>20</v>
      </c>
    </row>
    <row r="722" spans="1:13" x14ac:dyDescent="0.3">
      <c r="A722" t="s">
        <v>750</v>
      </c>
      <c r="B722" t="s">
        <v>30</v>
      </c>
      <c r="C722" t="s">
        <v>27</v>
      </c>
      <c r="D722">
        <v>3.07</v>
      </c>
      <c r="E722">
        <v>66</v>
      </c>
      <c r="F722">
        <v>7.93</v>
      </c>
      <c r="G722">
        <v>94</v>
      </c>
      <c r="H722" s="1">
        <v>45008.333333333336</v>
      </c>
      <c r="I722" s="1">
        <v>45008.379166666666</v>
      </c>
      <c r="J722" s="1">
        <v>45008.350694444445</v>
      </c>
      <c r="K722" s="1">
        <v>45008.396527777775</v>
      </c>
      <c r="L722" t="s">
        <v>19</v>
      </c>
      <c r="M722" t="s">
        <v>20</v>
      </c>
    </row>
    <row r="723" spans="1:13" x14ac:dyDescent="0.3">
      <c r="A723" t="s">
        <v>751</v>
      </c>
      <c r="B723" t="s">
        <v>22</v>
      </c>
      <c r="C723" t="s">
        <v>36</v>
      </c>
      <c r="D723">
        <v>2.4300000000000002</v>
      </c>
      <c r="E723">
        <v>40</v>
      </c>
      <c r="F723">
        <v>14.48</v>
      </c>
      <c r="G723">
        <v>80</v>
      </c>
      <c r="H723" s="1">
        <v>45008.340277777781</v>
      </c>
      <c r="I723" s="1">
        <v>45008.368055555555</v>
      </c>
      <c r="J723" s="1">
        <v>45008.34375</v>
      </c>
      <c r="K723" s="1">
        <v>45008.371527777781</v>
      </c>
      <c r="L723" t="s">
        <v>16</v>
      </c>
      <c r="M723" t="s">
        <v>17</v>
      </c>
    </row>
    <row r="724" spans="1:13" x14ac:dyDescent="0.3">
      <c r="A724" t="s">
        <v>752</v>
      </c>
      <c r="B724" t="s">
        <v>22</v>
      </c>
      <c r="C724" t="s">
        <v>27</v>
      </c>
      <c r="D724">
        <v>2.2000000000000002</v>
      </c>
      <c r="E724">
        <v>119</v>
      </c>
      <c r="F724">
        <v>4.5599999999999996</v>
      </c>
      <c r="G724">
        <v>81</v>
      </c>
      <c r="H724" s="1">
        <v>45008.347222222219</v>
      </c>
      <c r="I724" s="1">
        <v>45008.429861111108</v>
      </c>
      <c r="L724" t="s">
        <v>24</v>
      </c>
      <c r="M724" t="s">
        <v>20</v>
      </c>
    </row>
    <row r="725" spans="1:13" x14ac:dyDescent="0.3">
      <c r="A725" t="s">
        <v>753</v>
      </c>
      <c r="B725" t="s">
        <v>14</v>
      </c>
      <c r="C725" t="s">
        <v>23</v>
      </c>
      <c r="D725">
        <v>2.69</v>
      </c>
      <c r="E725">
        <v>32</v>
      </c>
      <c r="F725">
        <v>9.08</v>
      </c>
      <c r="G725">
        <v>97</v>
      </c>
      <c r="H725" s="1">
        <v>45008.354166666664</v>
      </c>
      <c r="I725" s="1">
        <v>45008.376388888886</v>
      </c>
      <c r="J725" s="1">
        <v>45008.355555555558</v>
      </c>
      <c r="K725" s="1">
        <v>45008.37777777778</v>
      </c>
      <c r="L725" t="s">
        <v>16</v>
      </c>
      <c r="M725" t="s">
        <v>17</v>
      </c>
    </row>
    <row r="726" spans="1:13" x14ac:dyDescent="0.3">
      <c r="A726" t="s">
        <v>754</v>
      </c>
      <c r="B726" t="s">
        <v>22</v>
      </c>
      <c r="C726" t="s">
        <v>27</v>
      </c>
      <c r="D726">
        <v>4.78</v>
      </c>
      <c r="E726">
        <v>117</v>
      </c>
      <c r="F726">
        <v>12.68</v>
      </c>
      <c r="G726">
        <v>87</v>
      </c>
      <c r="H726" s="1">
        <v>45008.361111111109</v>
      </c>
      <c r="I726" s="1">
        <v>45008.442361111112</v>
      </c>
      <c r="J726" s="1">
        <v>45008.36041666667</v>
      </c>
      <c r="K726" s="1">
        <v>45008.441666666666</v>
      </c>
      <c r="L726" t="s">
        <v>16</v>
      </c>
      <c r="M726" t="s">
        <v>20</v>
      </c>
    </row>
    <row r="727" spans="1:13" x14ac:dyDescent="0.3">
      <c r="A727" t="s">
        <v>755</v>
      </c>
      <c r="B727" t="s">
        <v>34</v>
      </c>
      <c r="C727" t="s">
        <v>15</v>
      </c>
      <c r="D727">
        <v>1.51</v>
      </c>
      <c r="E727">
        <v>117</v>
      </c>
      <c r="F727">
        <v>5.72</v>
      </c>
      <c r="G727">
        <v>90</v>
      </c>
      <c r="H727" s="1">
        <v>45008.368055555555</v>
      </c>
      <c r="I727" s="1">
        <v>45008.449305555558</v>
      </c>
      <c r="L727" t="s">
        <v>24</v>
      </c>
      <c r="M727" t="s">
        <v>20</v>
      </c>
    </row>
    <row r="728" spans="1:13" x14ac:dyDescent="0.3">
      <c r="A728" t="s">
        <v>756</v>
      </c>
      <c r="B728" t="s">
        <v>14</v>
      </c>
      <c r="C728" t="s">
        <v>15</v>
      </c>
      <c r="D728">
        <v>2.08</v>
      </c>
      <c r="E728">
        <v>30</v>
      </c>
      <c r="F728">
        <v>12.34</v>
      </c>
      <c r="G728">
        <v>84</v>
      </c>
      <c r="H728" s="1">
        <v>45008.375</v>
      </c>
      <c r="I728" s="1">
        <v>45008.395833333336</v>
      </c>
      <c r="J728" s="1">
        <v>45008.382638888892</v>
      </c>
      <c r="K728" s="1">
        <v>45008.40347222222</v>
      </c>
      <c r="L728" t="s">
        <v>19</v>
      </c>
      <c r="M728" t="s">
        <v>20</v>
      </c>
    </row>
    <row r="729" spans="1:13" x14ac:dyDescent="0.3">
      <c r="A729" t="s">
        <v>757</v>
      </c>
      <c r="B729" t="s">
        <v>40</v>
      </c>
      <c r="C729" t="s">
        <v>23</v>
      </c>
      <c r="D729">
        <v>4.4800000000000004</v>
      </c>
      <c r="E729">
        <v>67</v>
      </c>
      <c r="F729">
        <v>6.24</v>
      </c>
      <c r="G729">
        <v>94</v>
      </c>
      <c r="H729" s="1">
        <v>45008.381944444445</v>
      </c>
      <c r="I729" s="1">
        <v>45008.428472222222</v>
      </c>
      <c r="J729" s="1">
        <v>45008.398611111108</v>
      </c>
      <c r="K729" s="1">
        <v>45008.445138888892</v>
      </c>
      <c r="L729" t="s">
        <v>19</v>
      </c>
      <c r="M729" t="s">
        <v>20</v>
      </c>
    </row>
    <row r="730" spans="1:13" x14ac:dyDescent="0.3">
      <c r="A730" t="s">
        <v>758</v>
      </c>
      <c r="B730" t="s">
        <v>22</v>
      </c>
      <c r="C730" t="s">
        <v>27</v>
      </c>
      <c r="D730">
        <v>4.22</v>
      </c>
      <c r="E730">
        <v>49</v>
      </c>
      <c r="F730">
        <v>4.45</v>
      </c>
      <c r="G730">
        <v>96</v>
      </c>
      <c r="H730" s="1">
        <v>45008.388888888891</v>
      </c>
      <c r="I730" s="1">
        <v>45008.42291666667</v>
      </c>
      <c r="J730" s="1">
        <v>45008.407638888886</v>
      </c>
      <c r="K730" s="1">
        <v>45008.441666666666</v>
      </c>
      <c r="L730" t="s">
        <v>19</v>
      </c>
      <c r="M730" t="s">
        <v>20</v>
      </c>
    </row>
    <row r="731" spans="1:13" x14ac:dyDescent="0.3">
      <c r="A731" t="s">
        <v>759</v>
      </c>
      <c r="B731" t="s">
        <v>30</v>
      </c>
      <c r="C731" t="s">
        <v>23</v>
      </c>
      <c r="D731">
        <v>4.63</v>
      </c>
      <c r="E731">
        <v>119</v>
      </c>
      <c r="F731">
        <v>2.06</v>
      </c>
      <c r="G731">
        <v>97</v>
      </c>
      <c r="H731" s="1">
        <v>45008.395833333336</v>
      </c>
      <c r="I731" s="1">
        <v>45008.478472222225</v>
      </c>
      <c r="J731" s="1">
        <v>45008.393750000003</v>
      </c>
      <c r="K731" s="1">
        <v>45008.476388888892</v>
      </c>
      <c r="L731" t="s">
        <v>16</v>
      </c>
      <c r="M731" t="s">
        <v>20</v>
      </c>
    </row>
    <row r="732" spans="1:13" x14ac:dyDescent="0.3">
      <c r="A732" t="s">
        <v>760</v>
      </c>
      <c r="B732" t="s">
        <v>30</v>
      </c>
      <c r="C732" t="s">
        <v>23</v>
      </c>
      <c r="D732">
        <v>2.94</v>
      </c>
      <c r="E732">
        <v>115</v>
      </c>
      <c r="F732">
        <v>13.99</v>
      </c>
      <c r="G732">
        <v>97</v>
      </c>
      <c r="H732" s="1">
        <v>45008.402777777781</v>
      </c>
      <c r="I732" s="1">
        <v>45008.482638888891</v>
      </c>
      <c r="J732" s="1">
        <v>45008.401388888888</v>
      </c>
      <c r="K732" s="1">
        <v>45008.481249999997</v>
      </c>
      <c r="L732" t="s">
        <v>16</v>
      </c>
      <c r="M732" t="s">
        <v>20</v>
      </c>
    </row>
    <row r="733" spans="1:13" x14ac:dyDescent="0.3">
      <c r="A733" t="s">
        <v>761</v>
      </c>
      <c r="B733" t="s">
        <v>22</v>
      </c>
      <c r="C733" t="s">
        <v>36</v>
      </c>
      <c r="D733">
        <v>2.0699999999999998</v>
      </c>
      <c r="E733">
        <v>31</v>
      </c>
      <c r="F733">
        <v>2.33</v>
      </c>
      <c r="G733">
        <v>82</v>
      </c>
      <c r="H733" s="1">
        <v>45008.409722222219</v>
      </c>
      <c r="I733" s="1">
        <v>45008.431250000001</v>
      </c>
      <c r="J733" s="1">
        <v>45008.407638888886</v>
      </c>
      <c r="K733" s="1">
        <v>45008.429166666669</v>
      </c>
      <c r="L733" t="s">
        <v>16</v>
      </c>
      <c r="M733" t="s">
        <v>20</v>
      </c>
    </row>
    <row r="734" spans="1:13" x14ac:dyDescent="0.3">
      <c r="A734" t="s">
        <v>762</v>
      </c>
      <c r="B734" t="s">
        <v>30</v>
      </c>
      <c r="C734" t="s">
        <v>27</v>
      </c>
      <c r="D734">
        <v>4.0199999999999996</v>
      </c>
      <c r="E734">
        <v>82</v>
      </c>
      <c r="F734">
        <v>6.14</v>
      </c>
      <c r="G734">
        <v>81</v>
      </c>
      <c r="H734" s="1">
        <v>45008.416666666664</v>
      </c>
      <c r="I734" s="1">
        <v>45008.473611111112</v>
      </c>
      <c r="J734" s="1">
        <v>45008.413888888892</v>
      </c>
      <c r="K734" s="1">
        <v>45008.470833333333</v>
      </c>
      <c r="L734" t="s">
        <v>16</v>
      </c>
      <c r="M734" t="s">
        <v>20</v>
      </c>
    </row>
    <row r="735" spans="1:13" x14ac:dyDescent="0.3">
      <c r="A735" t="s">
        <v>763</v>
      </c>
      <c r="B735" t="s">
        <v>30</v>
      </c>
      <c r="C735" t="s">
        <v>27</v>
      </c>
      <c r="D735">
        <v>4.08</v>
      </c>
      <c r="E735">
        <v>71</v>
      </c>
      <c r="F735">
        <v>8.52</v>
      </c>
      <c r="G735">
        <v>82</v>
      </c>
      <c r="H735" s="1">
        <v>45008.423611111109</v>
      </c>
      <c r="I735" s="1">
        <v>45008.472916666666</v>
      </c>
      <c r="J735" s="1">
        <v>45008.442361111112</v>
      </c>
      <c r="K735" s="1">
        <v>45008.491666666669</v>
      </c>
      <c r="L735" t="s">
        <v>19</v>
      </c>
      <c r="M735" t="s">
        <v>20</v>
      </c>
    </row>
    <row r="736" spans="1:13" x14ac:dyDescent="0.3">
      <c r="A736" t="s">
        <v>764</v>
      </c>
      <c r="B736" t="s">
        <v>14</v>
      </c>
      <c r="C736" t="s">
        <v>32</v>
      </c>
      <c r="D736">
        <v>4.41</v>
      </c>
      <c r="E736">
        <v>54</v>
      </c>
      <c r="F736">
        <v>6.6</v>
      </c>
      <c r="G736">
        <v>84</v>
      </c>
      <c r="H736" s="1">
        <v>45008.430555555555</v>
      </c>
      <c r="I736" s="1">
        <v>45008.468055555553</v>
      </c>
      <c r="J736" s="1">
        <v>45008.427777777775</v>
      </c>
      <c r="K736" s="1">
        <v>45008.465277777781</v>
      </c>
      <c r="L736" t="s">
        <v>16</v>
      </c>
      <c r="M736" t="s">
        <v>20</v>
      </c>
    </row>
    <row r="737" spans="1:13" x14ac:dyDescent="0.3">
      <c r="A737" t="s">
        <v>765</v>
      </c>
      <c r="B737" t="s">
        <v>34</v>
      </c>
      <c r="C737" t="s">
        <v>15</v>
      </c>
      <c r="D737">
        <v>2.13</v>
      </c>
      <c r="E737">
        <v>27</v>
      </c>
      <c r="F737">
        <v>6.99</v>
      </c>
      <c r="G737">
        <v>94</v>
      </c>
      <c r="H737" s="1">
        <v>45008.4375</v>
      </c>
      <c r="I737" s="1">
        <v>45008.456250000003</v>
      </c>
      <c r="J737" s="1">
        <v>45008.436805555553</v>
      </c>
      <c r="K737" s="1">
        <v>45008.455555555556</v>
      </c>
      <c r="L737" t="s">
        <v>16</v>
      </c>
      <c r="M737" t="s">
        <v>20</v>
      </c>
    </row>
    <row r="738" spans="1:13" x14ac:dyDescent="0.3">
      <c r="A738" t="s">
        <v>766</v>
      </c>
      <c r="B738" t="s">
        <v>34</v>
      </c>
      <c r="C738" t="s">
        <v>27</v>
      </c>
      <c r="D738">
        <v>2.04</v>
      </c>
      <c r="E738">
        <v>20</v>
      </c>
      <c r="F738">
        <v>10.93</v>
      </c>
      <c r="G738">
        <v>87</v>
      </c>
      <c r="H738" s="1">
        <v>45008.444444444445</v>
      </c>
      <c r="I738" s="1">
        <v>45008.458333333336</v>
      </c>
      <c r="J738" s="1">
        <v>45008.443055555559</v>
      </c>
      <c r="K738" s="1">
        <v>45008.456944444442</v>
      </c>
      <c r="L738" t="s">
        <v>16</v>
      </c>
      <c r="M738" t="s">
        <v>20</v>
      </c>
    </row>
    <row r="739" spans="1:13" x14ac:dyDescent="0.3">
      <c r="A739" t="s">
        <v>767</v>
      </c>
      <c r="B739" t="s">
        <v>14</v>
      </c>
      <c r="C739" t="s">
        <v>23</v>
      </c>
      <c r="D739">
        <v>2.97</v>
      </c>
      <c r="E739">
        <v>74</v>
      </c>
      <c r="F739">
        <v>14.94</v>
      </c>
      <c r="G739">
        <v>85</v>
      </c>
      <c r="H739" s="1">
        <v>45008.451388888891</v>
      </c>
      <c r="I739" s="1">
        <v>45008.50277777778</v>
      </c>
      <c r="L739" t="s">
        <v>24</v>
      </c>
      <c r="M739" t="s">
        <v>20</v>
      </c>
    </row>
    <row r="740" spans="1:13" x14ac:dyDescent="0.3">
      <c r="A740" t="s">
        <v>768</v>
      </c>
      <c r="B740" t="s">
        <v>22</v>
      </c>
      <c r="C740" t="s">
        <v>23</v>
      </c>
      <c r="D740">
        <v>2.11</v>
      </c>
      <c r="E740">
        <v>98</v>
      </c>
      <c r="F740">
        <v>11.77</v>
      </c>
      <c r="G740">
        <v>97</v>
      </c>
      <c r="H740" s="1">
        <v>45008.458333333336</v>
      </c>
      <c r="I740" s="1">
        <v>45008.526388888888</v>
      </c>
      <c r="J740" s="1">
        <v>45008.455555555556</v>
      </c>
      <c r="K740" s="1">
        <v>45008.523611111108</v>
      </c>
      <c r="L740" t="s">
        <v>16</v>
      </c>
      <c r="M740" t="s">
        <v>20</v>
      </c>
    </row>
    <row r="741" spans="1:13" x14ac:dyDescent="0.3">
      <c r="A741" t="s">
        <v>769</v>
      </c>
      <c r="B741" t="s">
        <v>14</v>
      </c>
      <c r="C741" t="s">
        <v>23</v>
      </c>
      <c r="D741">
        <v>4.5999999999999996</v>
      </c>
      <c r="E741">
        <v>58</v>
      </c>
      <c r="F741">
        <v>11.98</v>
      </c>
      <c r="G741">
        <v>94</v>
      </c>
      <c r="H741" s="1">
        <v>45008.465277777781</v>
      </c>
      <c r="I741" s="1">
        <v>45008.505555555559</v>
      </c>
      <c r="J741" s="1">
        <v>45008.466666666667</v>
      </c>
      <c r="K741" s="1">
        <v>45008.506944444445</v>
      </c>
      <c r="L741" t="s">
        <v>16</v>
      </c>
      <c r="M741" t="s">
        <v>17</v>
      </c>
    </row>
    <row r="742" spans="1:13" x14ac:dyDescent="0.3">
      <c r="A742" t="s">
        <v>770</v>
      </c>
      <c r="B742" t="s">
        <v>14</v>
      </c>
      <c r="C742" t="s">
        <v>36</v>
      </c>
      <c r="D742">
        <v>3.46</v>
      </c>
      <c r="E742">
        <v>38</v>
      </c>
      <c r="F742">
        <v>12.99</v>
      </c>
      <c r="G742">
        <v>93</v>
      </c>
      <c r="H742" s="1">
        <v>45008.472222222219</v>
      </c>
      <c r="I742" s="1">
        <v>45008.498611111114</v>
      </c>
      <c r="L742" t="s">
        <v>24</v>
      </c>
      <c r="M742" t="s">
        <v>20</v>
      </c>
    </row>
    <row r="743" spans="1:13" x14ac:dyDescent="0.3">
      <c r="A743" t="s">
        <v>771</v>
      </c>
      <c r="B743" t="s">
        <v>14</v>
      </c>
      <c r="C743" t="s">
        <v>23</v>
      </c>
      <c r="D743">
        <v>1.17</v>
      </c>
      <c r="E743">
        <v>75</v>
      </c>
      <c r="F743">
        <v>12.89</v>
      </c>
      <c r="G743">
        <v>84</v>
      </c>
      <c r="H743" s="1">
        <v>45008.479166666664</v>
      </c>
      <c r="I743" s="1">
        <v>45008.53125</v>
      </c>
      <c r="J743" s="1">
        <v>45008.479861111111</v>
      </c>
      <c r="K743" s="1">
        <v>45008.531944444447</v>
      </c>
      <c r="L743" t="s">
        <v>16</v>
      </c>
      <c r="M743" t="s">
        <v>17</v>
      </c>
    </row>
    <row r="744" spans="1:13" x14ac:dyDescent="0.3">
      <c r="A744" t="s">
        <v>772</v>
      </c>
      <c r="B744" t="s">
        <v>22</v>
      </c>
      <c r="C744" t="s">
        <v>36</v>
      </c>
      <c r="D744">
        <v>2.52</v>
      </c>
      <c r="E744">
        <v>53</v>
      </c>
      <c r="F744">
        <v>6.9</v>
      </c>
      <c r="G744">
        <v>87</v>
      </c>
      <c r="H744" s="1">
        <v>45008.486111111109</v>
      </c>
      <c r="I744" s="1">
        <v>45008.522916666669</v>
      </c>
      <c r="L744" t="s">
        <v>24</v>
      </c>
      <c r="M744" t="s">
        <v>20</v>
      </c>
    </row>
    <row r="745" spans="1:13" x14ac:dyDescent="0.3">
      <c r="A745" t="s">
        <v>773</v>
      </c>
      <c r="B745" t="s">
        <v>30</v>
      </c>
      <c r="C745" t="s">
        <v>27</v>
      </c>
      <c r="D745">
        <v>3.2</v>
      </c>
      <c r="E745">
        <v>98</v>
      </c>
      <c r="F745">
        <v>7.96</v>
      </c>
      <c r="G745">
        <v>86</v>
      </c>
      <c r="H745" s="1">
        <v>45008.493055555555</v>
      </c>
      <c r="I745" s="1">
        <v>45008.561111111114</v>
      </c>
      <c r="J745" s="1">
        <v>45008.495138888888</v>
      </c>
      <c r="K745" s="1">
        <v>45008.563194444447</v>
      </c>
      <c r="L745" t="s">
        <v>16</v>
      </c>
      <c r="M745" t="s">
        <v>28</v>
      </c>
    </row>
    <row r="746" spans="1:13" x14ac:dyDescent="0.3">
      <c r="A746" t="s">
        <v>774</v>
      </c>
      <c r="B746" t="s">
        <v>40</v>
      </c>
      <c r="C746" t="s">
        <v>36</v>
      </c>
      <c r="D746">
        <v>2.97</v>
      </c>
      <c r="E746">
        <v>35</v>
      </c>
      <c r="F746">
        <v>5.72</v>
      </c>
      <c r="G746">
        <v>88</v>
      </c>
      <c r="H746" s="1">
        <v>45008.5</v>
      </c>
      <c r="I746" s="1">
        <v>45008.524305555555</v>
      </c>
      <c r="J746" s="1">
        <v>45008.511111111111</v>
      </c>
      <c r="K746" s="1">
        <v>45008.535416666666</v>
      </c>
      <c r="L746" t="s">
        <v>19</v>
      </c>
      <c r="M746" t="s">
        <v>20</v>
      </c>
    </row>
    <row r="747" spans="1:13" x14ac:dyDescent="0.3">
      <c r="A747" t="s">
        <v>775</v>
      </c>
      <c r="B747" t="s">
        <v>40</v>
      </c>
      <c r="C747" t="s">
        <v>32</v>
      </c>
      <c r="D747">
        <v>1.1399999999999999</v>
      </c>
      <c r="E747">
        <v>30</v>
      </c>
      <c r="F747">
        <v>7.66</v>
      </c>
      <c r="G747">
        <v>96</v>
      </c>
      <c r="H747" s="1">
        <v>45008.506944444445</v>
      </c>
      <c r="I747" s="1">
        <v>45008.527777777781</v>
      </c>
      <c r="J747" s="1">
        <v>45008.509027777778</v>
      </c>
      <c r="K747" s="1">
        <v>45008.529861111114</v>
      </c>
      <c r="L747" t="s">
        <v>16</v>
      </c>
      <c r="M747" t="s">
        <v>28</v>
      </c>
    </row>
    <row r="748" spans="1:13" x14ac:dyDescent="0.3">
      <c r="A748" t="s">
        <v>776</v>
      </c>
      <c r="B748" t="s">
        <v>34</v>
      </c>
      <c r="C748" t="s">
        <v>27</v>
      </c>
      <c r="D748">
        <v>2.57</v>
      </c>
      <c r="E748">
        <v>36</v>
      </c>
      <c r="F748">
        <v>13.05</v>
      </c>
      <c r="G748">
        <v>80</v>
      </c>
      <c r="H748" s="1">
        <v>45008.513888888891</v>
      </c>
      <c r="I748" s="1">
        <v>45008.538888888892</v>
      </c>
      <c r="J748" s="1">
        <v>45008.517361111109</v>
      </c>
      <c r="K748" s="1">
        <v>45008.542361111111</v>
      </c>
      <c r="L748" t="s">
        <v>16</v>
      </c>
      <c r="M748" t="s">
        <v>17</v>
      </c>
    </row>
    <row r="749" spans="1:13" x14ac:dyDescent="0.3">
      <c r="A749" t="s">
        <v>777</v>
      </c>
      <c r="B749" t="s">
        <v>30</v>
      </c>
      <c r="C749" t="s">
        <v>32</v>
      </c>
      <c r="D749">
        <v>2.4300000000000002</v>
      </c>
      <c r="E749">
        <v>94</v>
      </c>
      <c r="F749">
        <v>6.97</v>
      </c>
      <c r="G749">
        <v>87</v>
      </c>
      <c r="H749" s="1">
        <v>45008.520833333336</v>
      </c>
      <c r="I749" s="1">
        <v>45008.586111111108</v>
      </c>
      <c r="J749" s="1">
        <v>45008.531944444447</v>
      </c>
      <c r="K749" s="1">
        <v>45008.597222222219</v>
      </c>
      <c r="L749" t="s">
        <v>19</v>
      </c>
      <c r="M749" t="s">
        <v>20</v>
      </c>
    </row>
    <row r="750" spans="1:13" x14ac:dyDescent="0.3">
      <c r="A750" t="s">
        <v>778</v>
      </c>
      <c r="B750" t="s">
        <v>30</v>
      </c>
      <c r="C750" t="s">
        <v>15</v>
      </c>
      <c r="D750">
        <v>1.56</v>
      </c>
      <c r="E750">
        <v>69</v>
      </c>
      <c r="F750">
        <v>12.09</v>
      </c>
      <c r="G750">
        <v>90</v>
      </c>
      <c r="H750" s="1">
        <v>45008.527777777781</v>
      </c>
      <c r="I750" s="1">
        <v>45008.575694444444</v>
      </c>
      <c r="J750" s="1">
        <v>45008.540277777778</v>
      </c>
      <c r="K750" s="1">
        <v>45008.588194444441</v>
      </c>
      <c r="L750" t="s">
        <v>19</v>
      </c>
      <c r="M750" t="s">
        <v>20</v>
      </c>
    </row>
    <row r="751" spans="1:13" x14ac:dyDescent="0.3">
      <c r="A751" t="s">
        <v>779</v>
      </c>
      <c r="B751" t="s">
        <v>34</v>
      </c>
      <c r="C751" t="s">
        <v>36</v>
      </c>
      <c r="D751">
        <v>1.7</v>
      </c>
      <c r="E751">
        <v>74</v>
      </c>
      <c r="F751">
        <v>7.82</v>
      </c>
      <c r="G751">
        <v>93</v>
      </c>
      <c r="H751" s="1">
        <v>45008.534722222219</v>
      </c>
      <c r="I751" s="1">
        <v>45008.586111111108</v>
      </c>
      <c r="J751" s="1">
        <v>45008.536805555559</v>
      </c>
      <c r="K751" s="1">
        <v>45008.588194444441</v>
      </c>
      <c r="L751" t="s">
        <v>16</v>
      </c>
      <c r="M751" t="s">
        <v>28</v>
      </c>
    </row>
    <row r="752" spans="1:13" x14ac:dyDescent="0.3">
      <c r="A752" t="s">
        <v>780</v>
      </c>
      <c r="B752" t="s">
        <v>34</v>
      </c>
      <c r="C752" t="s">
        <v>36</v>
      </c>
      <c r="D752">
        <v>3.87</v>
      </c>
      <c r="E752">
        <v>90</v>
      </c>
      <c r="F752">
        <v>2.72</v>
      </c>
      <c r="G752">
        <v>87</v>
      </c>
      <c r="H752" s="1">
        <v>45008.541666666664</v>
      </c>
      <c r="I752" s="1">
        <v>45008.604166666664</v>
      </c>
      <c r="J752" s="1">
        <v>45008.538888888892</v>
      </c>
      <c r="K752" s="1">
        <v>45008.601388888892</v>
      </c>
      <c r="L752" t="s">
        <v>16</v>
      </c>
      <c r="M752" t="s">
        <v>20</v>
      </c>
    </row>
    <row r="753" spans="1:13" x14ac:dyDescent="0.3">
      <c r="A753" t="s">
        <v>781</v>
      </c>
      <c r="B753" t="s">
        <v>22</v>
      </c>
      <c r="C753" t="s">
        <v>27</v>
      </c>
      <c r="D753">
        <v>4.6399999999999997</v>
      </c>
      <c r="E753">
        <v>110</v>
      </c>
      <c r="F753">
        <v>12.13</v>
      </c>
      <c r="G753">
        <v>98</v>
      </c>
      <c r="H753" s="1">
        <v>45008.548611111109</v>
      </c>
      <c r="I753" s="1">
        <v>45008.625</v>
      </c>
      <c r="J753" s="1">
        <v>45008.567361111112</v>
      </c>
      <c r="K753" s="1">
        <v>45008.643750000003</v>
      </c>
      <c r="L753" t="s">
        <v>19</v>
      </c>
      <c r="M753" t="s">
        <v>20</v>
      </c>
    </row>
    <row r="754" spans="1:13" x14ac:dyDescent="0.3">
      <c r="A754" t="s">
        <v>782</v>
      </c>
      <c r="B754" t="s">
        <v>14</v>
      </c>
      <c r="C754" t="s">
        <v>15</v>
      </c>
      <c r="D754">
        <v>1.51</v>
      </c>
      <c r="E754">
        <v>50</v>
      </c>
      <c r="F754">
        <v>3.29</v>
      </c>
      <c r="G754">
        <v>87</v>
      </c>
      <c r="H754" s="1">
        <v>45008.555555555555</v>
      </c>
      <c r="I754" s="1">
        <v>45008.590277777781</v>
      </c>
      <c r="L754" t="s">
        <v>24</v>
      </c>
      <c r="M754" t="s">
        <v>20</v>
      </c>
    </row>
    <row r="755" spans="1:13" x14ac:dyDescent="0.3">
      <c r="A755" t="s">
        <v>783</v>
      </c>
      <c r="B755" t="s">
        <v>30</v>
      </c>
      <c r="C755" t="s">
        <v>32</v>
      </c>
      <c r="D755">
        <v>3.57</v>
      </c>
      <c r="E755">
        <v>117</v>
      </c>
      <c r="F755">
        <v>8.5299999999999994</v>
      </c>
      <c r="G755">
        <v>98</v>
      </c>
      <c r="H755" s="1">
        <v>45008.5625</v>
      </c>
      <c r="I755" s="1">
        <v>45008.643750000003</v>
      </c>
      <c r="J755" s="1">
        <v>45008.55972222222</v>
      </c>
      <c r="K755" s="1">
        <v>45008.640972222223</v>
      </c>
      <c r="L755" t="s">
        <v>16</v>
      </c>
      <c r="M755" t="s">
        <v>20</v>
      </c>
    </row>
    <row r="756" spans="1:13" x14ac:dyDescent="0.3">
      <c r="A756" t="s">
        <v>784</v>
      </c>
      <c r="B756" t="s">
        <v>22</v>
      </c>
      <c r="C756" t="s">
        <v>15</v>
      </c>
      <c r="D756">
        <v>2.89</v>
      </c>
      <c r="E756">
        <v>120</v>
      </c>
      <c r="F756">
        <v>10.96</v>
      </c>
      <c r="G756">
        <v>97</v>
      </c>
      <c r="H756" s="1">
        <v>45008.569444444445</v>
      </c>
      <c r="I756" s="1">
        <v>45008.652777777781</v>
      </c>
      <c r="J756" s="1">
        <v>45008.580555555556</v>
      </c>
      <c r="K756" s="1">
        <v>45008.663888888892</v>
      </c>
      <c r="L756" t="s">
        <v>19</v>
      </c>
      <c r="M756" t="s">
        <v>20</v>
      </c>
    </row>
    <row r="757" spans="1:13" x14ac:dyDescent="0.3">
      <c r="A757" t="s">
        <v>785</v>
      </c>
      <c r="B757" t="s">
        <v>40</v>
      </c>
      <c r="C757" t="s">
        <v>15</v>
      </c>
      <c r="D757">
        <v>4.24</v>
      </c>
      <c r="E757">
        <v>29</v>
      </c>
      <c r="F757">
        <v>11.47</v>
      </c>
      <c r="G757">
        <v>83</v>
      </c>
      <c r="H757" s="1">
        <v>45008.576388888891</v>
      </c>
      <c r="I757" s="1">
        <v>45008.59652777778</v>
      </c>
      <c r="J757" s="1">
        <v>45008.574999999997</v>
      </c>
      <c r="K757" s="1">
        <v>45008.595138888886</v>
      </c>
      <c r="L757" t="s">
        <v>16</v>
      </c>
      <c r="M757" t="s">
        <v>20</v>
      </c>
    </row>
    <row r="758" spans="1:13" x14ac:dyDescent="0.3">
      <c r="A758" t="s">
        <v>786</v>
      </c>
      <c r="B758" t="s">
        <v>22</v>
      </c>
      <c r="C758" t="s">
        <v>15</v>
      </c>
      <c r="D758">
        <v>1.74</v>
      </c>
      <c r="E758">
        <v>67</v>
      </c>
      <c r="F758">
        <v>7.84</v>
      </c>
      <c r="G758">
        <v>82</v>
      </c>
      <c r="H758" s="1">
        <v>45008.583333333336</v>
      </c>
      <c r="I758" s="1">
        <v>45008.629861111112</v>
      </c>
      <c r="J758" s="1">
        <v>45008.581250000003</v>
      </c>
      <c r="K758" s="1">
        <v>45008.62777777778</v>
      </c>
      <c r="L758" t="s">
        <v>16</v>
      </c>
      <c r="M758" t="s">
        <v>20</v>
      </c>
    </row>
    <row r="759" spans="1:13" x14ac:dyDescent="0.3">
      <c r="A759" t="s">
        <v>787</v>
      </c>
      <c r="B759" t="s">
        <v>22</v>
      </c>
      <c r="C759" t="s">
        <v>36</v>
      </c>
      <c r="D759">
        <v>1.9</v>
      </c>
      <c r="E759">
        <v>32</v>
      </c>
      <c r="F759">
        <v>2.3199999999999998</v>
      </c>
      <c r="G759">
        <v>92</v>
      </c>
      <c r="H759" s="1">
        <v>45008.590277777781</v>
      </c>
      <c r="I759" s="1">
        <v>45008.612500000003</v>
      </c>
      <c r="J759" s="1">
        <v>45008.59375</v>
      </c>
      <c r="K759" s="1">
        <v>45008.615972222222</v>
      </c>
      <c r="L759" t="s">
        <v>16</v>
      </c>
      <c r="M759" t="s">
        <v>28</v>
      </c>
    </row>
    <row r="760" spans="1:13" x14ac:dyDescent="0.3">
      <c r="A760" t="s">
        <v>788</v>
      </c>
      <c r="B760" t="s">
        <v>22</v>
      </c>
      <c r="C760" t="s">
        <v>36</v>
      </c>
      <c r="D760">
        <v>1.1200000000000001</v>
      </c>
      <c r="E760">
        <v>113</v>
      </c>
      <c r="F760">
        <v>12.41</v>
      </c>
      <c r="G760">
        <v>84</v>
      </c>
      <c r="H760" s="1">
        <v>45008.597222222219</v>
      </c>
      <c r="I760" s="1">
        <v>45008.675694444442</v>
      </c>
      <c r="J760" s="1">
        <v>45008.611111111109</v>
      </c>
      <c r="K760" s="1">
        <v>45008.689583333333</v>
      </c>
      <c r="L760" t="s">
        <v>19</v>
      </c>
      <c r="M760" t="s">
        <v>20</v>
      </c>
    </row>
    <row r="761" spans="1:13" x14ac:dyDescent="0.3">
      <c r="A761" t="s">
        <v>789</v>
      </c>
      <c r="B761" t="s">
        <v>30</v>
      </c>
      <c r="C761" t="s">
        <v>36</v>
      </c>
      <c r="D761">
        <v>1.66</v>
      </c>
      <c r="E761">
        <v>26</v>
      </c>
      <c r="F761">
        <v>6.33</v>
      </c>
      <c r="G761">
        <v>85</v>
      </c>
      <c r="H761" s="1">
        <v>45008.604166666664</v>
      </c>
      <c r="I761" s="1">
        <v>45008.62222222222</v>
      </c>
      <c r="J761" s="1">
        <v>45008.604166666664</v>
      </c>
      <c r="K761" s="1">
        <v>45008.62222222222</v>
      </c>
      <c r="L761" t="s">
        <v>16</v>
      </c>
      <c r="M761" t="s">
        <v>28</v>
      </c>
    </row>
    <row r="762" spans="1:13" x14ac:dyDescent="0.3">
      <c r="A762" t="s">
        <v>790</v>
      </c>
      <c r="B762" t="s">
        <v>40</v>
      </c>
      <c r="C762" t="s">
        <v>32</v>
      </c>
      <c r="D762">
        <v>1.83</v>
      </c>
      <c r="E762">
        <v>87</v>
      </c>
      <c r="F762">
        <v>6.72</v>
      </c>
      <c r="G762">
        <v>90</v>
      </c>
      <c r="H762" s="1">
        <v>45008.611111111109</v>
      </c>
      <c r="I762" s="1">
        <v>45008.671527777777</v>
      </c>
      <c r="J762" s="1">
        <v>45008.613194444442</v>
      </c>
      <c r="K762" s="1">
        <v>45008.673611111109</v>
      </c>
      <c r="L762" t="s">
        <v>16</v>
      </c>
      <c r="M762" t="s">
        <v>28</v>
      </c>
    </row>
    <row r="763" spans="1:13" x14ac:dyDescent="0.3">
      <c r="A763" t="s">
        <v>791</v>
      </c>
      <c r="B763" t="s">
        <v>22</v>
      </c>
      <c r="C763" t="s">
        <v>27</v>
      </c>
      <c r="D763">
        <v>4.1399999999999997</v>
      </c>
      <c r="E763">
        <v>76</v>
      </c>
      <c r="F763">
        <v>11.27</v>
      </c>
      <c r="G763">
        <v>99</v>
      </c>
      <c r="H763" s="1">
        <v>45008.618055555555</v>
      </c>
      <c r="I763" s="1">
        <v>45008.67083333333</v>
      </c>
      <c r="J763" s="1">
        <v>45008.619444444441</v>
      </c>
      <c r="K763" s="1">
        <v>45008.672222222223</v>
      </c>
      <c r="L763" t="s">
        <v>16</v>
      </c>
      <c r="M763" t="s">
        <v>17</v>
      </c>
    </row>
    <row r="764" spans="1:13" x14ac:dyDescent="0.3">
      <c r="A764" t="s">
        <v>792</v>
      </c>
      <c r="B764" t="s">
        <v>34</v>
      </c>
      <c r="C764" t="s">
        <v>23</v>
      </c>
      <c r="D764">
        <v>2.65</v>
      </c>
      <c r="E764">
        <v>84</v>
      </c>
      <c r="F764">
        <v>11.37</v>
      </c>
      <c r="G764">
        <v>82</v>
      </c>
      <c r="H764" s="1">
        <v>45008.625</v>
      </c>
      <c r="I764" s="1">
        <v>45008.683333333334</v>
      </c>
      <c r="L764" t="s">
        <v>24</v>
      </c>
      <c r="M764" t="s">
        <v>20</v>
      </c>
    </row>
    <row r="765" spans="1:13" x14ac:dyDescent="0.3">
      <c r="A765" t="s">
        <v>793</v>
      </c>
      <c r="B765" t="s">
        <v>22</v>
      </c>
      <c r="C765" t="s">
        <v>15</v>
      </c>
      <c r="D765">
        <v>4.25</v>
      </c>
      <c r="E765">
        <v>97</v>
      </c>
      <c r="F765">
        <v>3.23</v>
      </c>
      <c r="G765">
        <v>82</v>
      </c>
      <c r="H765" s="1">
        <v>45008.631944444445</v>
      </c>
      <c r="I765" s="1">
        <v>45008.699305555558</v>
      </c>
      <c r="J765" s="1">
        <v>45008.634027777778</v>
      </c>
      <c r="K765" s="1">
        <v>45008.701388888891</v>
      </c>
      <c r="L765" t="s">
        <v>16</v>
      </c>
      <c r="M765" t="s">
        <v>28</v>
      </c>
    </row>
    <row r="766" spans="1:13" x14ac:dyDescent="0.3">
      <c r="A766" t="s">
        <v>794</v>
      </c>
      <c r="B766" t="s">
        <v>40</v>
      </c>
      <c r="C766" t="s">
        <v>27</v>
      </c>
      <c r="D766">
        <v>3.92</v>
      </c>
      <c r="E766">
        <v>21</v>
      </c>
      <c r="F766">
        <v>12.69</v>
      </c>
      <c r="G766">
        <v>81</v>
      </c>
      <c r="H766" s="1">
        <v>45008.638888888891</v>
      </c>
      <c r="I766" s="1">
        <v>45008.65347222222</v>
      </c>
      <c r="L766" t="s">
        <v>24</v>
      </c>
      <c r="M766" t="s">
        <v>20</v>
      </c>
    </row>
    <row r="767" spans="1:13" x14ac:dyDescent="0.3">
      <c r="A767" t="s">
        <v>795</v>
      </c>
      <c r="B767" t="s">
        <v>22</v>
      </c>
      <c r="C767" t="s">
        <v>15</v>
      </c>
      <c r="D767">
        <v>2.5499999999999998</v>
      </c>
      <c r="E767">
        <v>98</v>
      </c>
      <c r="F767">
        <v>8.86</v>
      </c>
      <c r="G767">
        <v>81</v>
      </c>
      <c r="H767" s="1">
        <v>45008.645833333336</v>
      </c>
      <c r="I767" s="1">
        <v>45008.713888888888</v>
      </c>
      <c r="J767" s="1">
        <v>45008.657638888886</v>
      </c>
      <c r="K767" s="1">
        <v>45008.725694444445</v>
      </c>
      <c r="L767" t="s">
        <v>19</v>
      </c>
      <c r="M767" t="s">
        <v>20</v>
      </c>
    </row>
    <row r="768" spans="1:13" x14ac:dyDescent="0.3">
      <c r="A768" t="s">
        <v>796</v>
      </c>
      <c r="B768" t="s">
        <v>40</v>
      </c>
      <c r="C768" t="s">
        <v>15</v>
      </c>
      <c r="D768">
        <v>1.83</v>
      </c>
      <c r="E768">
        <v>112</v>
      </c>
      <c r="F768">
        <v>3.11</v>
      </c>
      <c r="G768">
        <v>95</v>
      </c>
      <c r="H768" s="1">
        <v>45008.652777777781</v>
      </c>
      <c r="I768" s="1">
        <v>45008.730555555558</v>
      </c>
      <c r="J768" s="1">
        <v>45008.651388888888</v>
      </c>
      <c r="K768" s="1">
        <v>45008.729166666664</v>
      </c>
      <c r="L768" t="s">
        <v>16</v>
      </c>
      <c r="M768" t="s">
        <v>20</v>
      </c>
    </row>
    <row r="769" spans="1:13" x14ac:dyDescent="0.3">
      <c r="A769" t="s">
        <v>797</v>
      </c>
      <c r="B769" t="s">
        <v>22</v>
      </c>
      <c r="C769" t="s">
        <v>32</v>
      </c>
      <c r="D769">
        <v>2.13</v>
      </c>
      <c r="E769">
        <v>87</v>
      </c>
      <c r="F769">
        <v>5.3</v>
      </c>
      <c r="G769">
        <v>95</v>
      </c>
      <c r="H769" s="1">
        <v>45008.659722222219</v>
      </c>
      <c r="I769" s="1">
        <v>45008.720138888886</v>
      </c>
      <c r="J769" s="1">
        <v>45008.658333333333</v>
      </c>
      <c r="K769" s="1">
        <v>45008.71875</v>
      </c>
      <c r="L769" t="s">
        <v>16</v>
      </c>
      <c r="M769" t="s">
        <v>20</v>
      </c>
    </row>
    <row r="770" spans="1:13" x14ac:dyDescent="0.3">
      <c r="A770" t="s">
        <v>798</v>
      </c>
      <c r="B770" t="s">
        <v>14</v>
      </c>
      <c r="C770" t="s">
        <v>36</v>
      </c>
      <c r="D770">
        <v>2.2999999999999998</v>
      </c>
      <c r="E770">
        <v>59</v>
      </c>
      <c r="F770">
        <v>4.32</v>
      </c>
      <c r="G770">
        <v>95</v>
      </c>
      <c r="H770" s="1">
        <v>45008.666666666664</v>
      </c>
      <c r="I770" s="1">
        <v>45008.707638888889</v>
      </c>
      <c r="J770" s="1">
        <v>45008.669444444444</v>
      </c>
      <c r="K770" s="1">
        <v>45008.710416666669</v>
      </c>
      <c r="L770" t="s">
        <v>16</v>
      </c>
      <c r="M770" t="s">
        <v>28</v>
      </c>
    </row>
    <row r="771" spans="1:13" x14ac:dyDescent="0.3">
      <c r="A771" t="s">
        <v>799</v>
      </c>
      <c r="B771" t="s">
        <v>34</v>
      </c>
      <c r="C771" t="s">
        <v>15</v>
      </c>
      <c r="D771">
        <v>4.21</v>
      </c>
      <c r="E771">
        <v>105</v>
      </c>
      <c r="F771">
        <v>9.9600000000000009</v>
      </c>
      <c r="G771">
        <v>93</v>
      </c>
      <c r="H771" s="1">
        <v>45008.673611111109</v>
      </c>
      <c r="I771" s="1">
        <v>45008.746527777781</v>
      </c>
      <c r="J771" s="1">
        <v>45008.692361111112</v>
      </c>
      <c r="K771" s="1">
        <v>45008.765277777777</v>
      </c>
      <c r="L771" t="s">
        <v>19</v>
      </c>
      <c r="M771" t="s">
        <v>20</v>
      </c>
    </row>
    <row r="772" spans="1:13" x14ac:dyDescent="0.3">
      <c r="A772" t="s">
        <v>800</v>
      </c>
      <c r="B772" t="s">
        <v>34</v>
      </c>
      <c r="C772" t="s">
        <v>23</v>
      </c>
      <c r="D772">
        <v>3.69</v>
      </c>
      <c r="E772">
        <v>103</v>
      </c>
      <c r="F772">
        <v>2.21</v>
      </c>
      <c r="G772">
        <v>95</v>
      </c>
      <c r="H772" s="1">
        <v>45008.680555555555</v>
      </c>
      <c r="I772" s="1">
        <v>45008.752083333333</v>
      </c>
      <c r="J772" s="1">
        <v>45008.677777777775</v>
      </c>
      <c r="K772" s="1">
        <v>45008.749305555553</v>
      </c>
      <c r="L772" t="s">
        <v>16</v>
      </c>
      <c r="M772" t="s">
        <v>20</v>
      </c>
    </row>
    <row r="773" spans="1:13" x14ac:dyDescent="0.3">
      <c r="A773" t="s">
        <v>801</v>
      </c>
      <c r="B773" t="s">
        <v>22</v>
      </c>
      <c r="C773" t="s">
        <v>32</v>
      </c>
      <c r="D773">
        <v>3.81</v>
      </c>
      <c r="E773">
        <v>71</v>
      </c>
      <c r="F773">
        <v>12.02</v>
      </c>
      <c r="G773">
        <v>94</v>
      </c>
      <c r="H773" s="1">
        <v>45008.6875</v>
      </c>
      <c r="I773" s="1">
        <v>45008.736805555556</v>
      </c>
      <c r="J773" s="1">
        <v>45008.696527777778</v>
      </c>
      <c r="K773" s="1">
        <v>45008.745833333334</v>
      </c>
      <c r="L773" t="s">
        <v>19</v>
      </c>
      <c r="M773" t="s">
        <v>20</v>
      </c>
    </row>
    <row r="774" spans="1:13" x14ac:dyDescent="0.3">
      <c r="A774" t="s">
        <v>802</v>
      </c>
      <c r="B774" t="s">
        <v>34</v>
      </c>
      <c r="C774" t="s">
        <v>15</v>
      </c>
      <c r="D774">
        <v>1.9</v>
      </c>
      <c r="E774">
        <v>120</v>
      </c>
      <c r="F774">
        <v>6.96</v>
      </c>
      <c r="G774">
        <v>87</v>
      </c>
      <c r="H774" s="1">
        <v>45008.694444444445</v>
      </c>
      <c r="I774" s="1">
        <v>45008.777777777781</v>
      </c>
      <c r="L774" t="s">
        <v>24</v>
      </c>
      <c r="M774" t="s">
        <v>20</v>
      </c>
    </row>
    <row r="775" spans="1:13" x14ac:dyDescent="0.3">
      <c r="A775" t="s">
        <v>803</v>
      </c>
      <c r="B775" t="s">
        <v>14</v>
      </c>
      <c r="C775" t="s">
        <v>23</v>
      </c>
      <c r="D775">
        <v>2.4300000000000002</v>
      </c>
      <c r="E775">
        <v>69</v>
      </c>
      <c r="F775">
        <v>13.76</v>
      </c>
      <c r="G775">
        <v>80</v>
      </c>
      <c r="H775" s="1">
        <v>45008.701388888891</v>
      </c>
      <c r="I775" s="1">
        <v>45008.749305555553</v>
      </c>
      <c r="J775" s="1">
        <v>45008.699305555558</v>
      </c>
      <c r="K775" s="1">
        <v>45008.74722222222</v>
      </c>
      <c r="L775" t="s">
        <v>16</v>
      </c>
      <c r="M775" t="s">
        <v>20</v>
      </c>
    </row>
    <row r="776" spans="1:13" x14ac:dyDescent="0.3">
      <c r="A776" t="s">
        <v>804</v>
      </c>
      <c r="B776" t="s">
        <v>40</v>
      </c>
      <c r="C776" t="s">
        <v>27</v>
      </c>
      <c r="D776">
        <v>4.7300000000000004</v>
      </c>
      <c r="E776">
        <v>34</v>
      </c>
      <c r="F776">
        <v>3</v>
      </c>
      <c r="G776">
        <v>92</v>
      </c>
      <c r="H776" s="1">
        <v>45008.708333333336</v>
      </c>
      <c r="I776" s="1">
        <v>45008.731944444444</v>
      </c>
      <c r="J776" s="1">
        <v>45008.711805555555</v>
      </c>
      <c r="K776" s="1">
        <v>45008.73541666667</v>
      </c>
      <c r="L776" t="s">
        <v>16</v>
      </c>
      <c r="M776" t="s">
        <v>28</v>
      </c>
    </row>
    <row r="777" spans="1:13" x14ac:dyDescent="0.3">
      <c r="A777" t="s">
        <v>805</v>
      </c>
      <c r="B777" t="s">
        <v>40</v>
      </c>
      <c r="C777" t="s">
        <v>32</v>
      </c>
      <c r="D777">
        <v>1.86</v>
      </c>
      <c r="E777">
        <v>118</v>
      </c>
      <c r="F777">
        <v>7.64</v>
      </c>
      <c r="G777">
        <v>91</v>
      </c>
      <c r="H777" s="1">
        <v>45008.715277777781</v>
      </c>
      <c r="I777" s="1">
        <v>45008.797222222223</v>
      </c>
      <c r="J777" s="1">
        <v>45008.715277777781</v>
      </c>
      <c r="K777" s="1">
        <v>45008.797222222223</v>
      </c>
      <c r="L777" t="s">
        <v>16</v>
      </c>
      <c r="M777" t="s">
        <v>28</v>
      </c>
    </row>
    <row r="778" spans="1:13" x14ac:dyDescent="0.3">
      <c r="A778" t="s">
        <v>806</v>
      </c>
      <c r="B778" t="s">
        <v>30</v>
      </c>
      <c r="C778" t="s">
        <v>23</v>
      </c>
      <c r="D778">
        <v>1.25</v>
      </c>
      <c r="E778">
        <v>44</v>
      </c>
      <c r="F778">
        <v>12.18</v>
      </c>
      <c r="G778">
        <v>92</v>
      </c>
      <c r="H778" s="1">
        <v>45008.722222222219</v>
      </c>
      <c r="I778" s="1">
        <v>45008.75277777778</v>
      </c>
      <c r="J778" s="1">
        <v>45008.73333333333</v>
      </c>
      <c r="K778" s="1">
        <v>45008.763888888891</v>
      </c>
      <c r="L778" t="s">
        <v>19</v>
      </c>
      <c r="M778" t="s">
        <v>20</v>
      </c>
    </row>
    <row r="779" spans="1:13" x14ac:dyDescent="0.3">
      <c r="A779" t="s">
        <v>807</v>
      </c>
      <c r="B779" t="s">
        <v>40</v>
      </c>
      <c r="C779" t="s">
        <v>23</v>
      </c>
      <c r="D779">
        <v>4.9000000000000004</v>
      </c>
      <c r="E779">
        <v>75</v>
      </c>
      <c r="F779">
        <v>13.52</v>
      </c>
      <c r="G779">
        <v>82</v>
      </c>
      <c r="H779" s="1">
        <v>45008.729166666664</v>
      </c>
      <c r="I779" s="1">
        <v>45008.78125</v>
      </c>
      <c r="J779" s="1">
        <v>45008.730555555558</v>
      </c>
      <c r="K779" s="1">
        <v>45008.782638888886</v>
      </c>
      <c r="L779" t="s">
        <v>16</v>
      </c>
      <c r="M779" t="s">
        <v>17</v>
      </c>
    </row>
    <row r="780" spans="1:13" x14ac:dyDescent="0.3">
      <c r="A780" t="s">
        <v>808</v>
      </c>
      <c r="B780" t="s">
        <v>14</v>
      </c>
      <c r="C780" t="s">
        <v>15</v>
      </c>
      <c r="D780">
        <v>3.67</v>
      </c>
      <c r="E780">
        <v>64</v>
      </c>
      <c r="F780">
        <v>3.28</v>
      </c>
      <c r="G780">
        <v>90</v>
      </c>
      <c r="H780" s="1">
        <v>45008.736111111109</v>
      </c>
      <c r="I780" s="1">
        <v>45008.780555555553</v>
      </c>
      <c r="J780" s="1">
        <v>45008.739583333336</v>
      </c>
      <c r="K780" s="1">
        <v>45008.78402777778</v>
      </c>
      <c r="L780" t="s">
        <v>16</v>
      </c>
      <c r="M780" t="s">
        <v>28</v>
      </c>
    </row>
    <row r="781" spans="1:13" x14ac:dyDescent="0.3">
      <c r="A781" t="s">
        <v>809</v>
      </c>
      <c r="B781" t="s">
        <v>40</v>
      </c>
      <c r="C781" t="s">
        <v>15</v>
      </c>
      <c r="D781">
        <v>2.2999999999999998</v>
      </c>
      <c r="E781">
        <v>31</v>
      </c>
      <c r="F781">
        <v>14.58</v>
      </c>
      <c r="G781">
        <v>88</v>
      </c>
      <c r="H781" s="1">
        <v>45008.743055555555</v>
      </c>
      <c r="I781" s="1">
        <v>45008.76458333333</v>
      </c>
      <c r="J781" s="1">
        <v>45008.75</v>
      </c>
      <c r="K781" s="1">
        <v>45008.771527777775</v>
      </c>
      <c r="L781" t="s">
        <v>19</v>
      </c>
      <c r="M781" t="s">
        <v>20</v>
      </c>
    </row>
    <row r="782" spans="1:13" x14ac:dyDescent="0.3">
      <c r="A782" t="s">
        <v>810</v>
      </c>
      <c r="B782" t="s">
        <v>34</v>
      </c>
      <c r="C782" t="s">
        <v>32</v>
      </c>
      <c r="D782">
        <v>2.8</v>
      </c>
      <c r="E782">
        <v>103</v>
      </c>
      <c r="F782">
        <v>8.66</v>
      </c>
      <c r="G782">
        <v>92</v>
      </c>
      <c r="H782" s="1">
        <v>45008.75</v>
      </c>
      <c r="I782" s="1">
        <v>45008.821527777778</v>
      </c>
      <c r="J782" s="1">
        <v>45008.747916666667</v>
      </c>
      <c r="K782" s="1">
        <v>45008.819444444445</v>
      </c>
      <c r="L782" t="s">
        <v>16</v>
      </c>
      <c r="M782" t="s">
        <v>20</v>
      </c>
    </row>
    <row r="783" spans="1:13" x14ac:dyDescent="0.3">
      <c r="A783" t="s">
        <v>811</v>
      </c>
      <c r="B783" t="s">
        <v>30</v>
      </c>
      <c r="C783" t="s">
        <v>36</v>
      </c>
      <c r="D783">
        <v>1.99</v>
      </c>
      <c r="E783">
        <v>42</v>
      </c>
      <c r="F783">
        <v>7.26</v>
      </c>
      <c r="G783">
        <v>81</v>
      </c>
      <c r="H783" s="1">
        <v>45008.756944444445</v>
      </c>
      <c r="I783" s="1">
        <v>45008.786111111112</v>
      </c>
      <c r="J783" s="1">
        <v>45008.753472222219</v>
      </c>
      <c r="K783" s="1">
        <v>45008.782638888886</v>
      </c>
      <c r="L783" t="s">
        <v>16</v>
      </c>
      <c r="M783" t="s">
        <v>20</v>
      </c>
    </row>
    <row r="784" spans="1:13" x14ac:dyDescent="0.3">
      <c r="A784" t="s">
        <v>812</v>
      </c>
      <c r="B784" t="s">
        <v>14</v>
      </c>
      <c r="C784" t="s">
        <v>36</v>
      </c>
      <c r="D784">
        <v>2.84</v>
      </c>
      <c r="E784">
        <v>73</v>
      </c>
      <c r="F784">
        <v>12.23</v>
      </c>
      <c r="G784">
        <v>93</v>
      </c>
      <c r="H784" s="1">
        <v>45008.763888888891</v>
      </c>
      <c r="I784" s="1">
        <v>45008.814583333333</v>
      </c>
      <c r="J784" s="1">
        <v>45008.763888888891</v>
      </c>
      <c r="K784" s="1">
        <v>45008.814583333333</v>
      </c>
      <c r="L784" t="s">
        <v>16</v>
      </c>
      <c r="M784" t="s">
        <v>17</v>
      </c>
    </row>
    <row r="785" spans="1:13" x14ac:dyDescent="0.3">
      <c r="A785" t="s">
        <v>813</v>
      </c>
      <c r="B785" t="s">
        <v>30</v>
      </c>
      <c r="C785" t="s">
        <v>23</v>
      </c>
      <c r="D785">
        <v>4.55</v>
      </c>
      <c r="E785">
        <v>118</v>
      </c>
      <c r="F785">
        <v>7.16</v>
      </c>
      <c r="G785">
        <v>96</v>
      </c>
      <c r="H785" s="1">
        <v>45008.770833333336</v>
      </c>
      <c r="I785" s="1">
        <v>45008.852777777778</v>
      </c>
      <c r="J785" s="1">
        <v>45008.770138888889</v>
      </c>
      <c r="K785" s="1">
        <v>45008.852083333331</v>
      </c>
      <c r="L785" t="s">
        <v>16</v>
      </c>
      <c r="M785" t="s">
        <v>20</v>
      </c>
    </row>
    <row r="786" spans="1:13" x14ac:dyDescent="0.3">
      <c r="A786" t="s">
        <v>814</v>
      </c>
      <c r="B786" t="s">
        <v>22</v>
      </c>
      <c r="C786" t="s">
        <v>27</v>
      </c>
      <c r="D786">
        <v>4.92</v>
      </c>
      <c r="E786">
        <v>97</v>
      </c>
      <c r="F786">
        <v>5.17</v>
      </c>
      <c r="G786">
        <v>92</v>
      </c>
      <c r="H786" s="1">
        <v>45008.777777777781</v>
      </c>
      <c r="I786" s="1">
        <v>45008.845138888886</v>
      </c>
      <c r="J786" s="1">
        <v>45008.776388888888</v>
      </c>
      <c r="K786" s="1">
        <v>45008.84375</v>
      </c>
      <c r="L786" t="s">
        <v>16</v>
      </c>
      <c r="M786" t="s">
        <v>20</v>
      </c>
    </row>
    <row r="787" spans="1:13" x14ac:dyDescent="0.3">
      <c r="A787" t="s">
        <v>815</v>
      </c>
      <c r="B787" t="s">
        <v>34</v>
      </c>
      <c r="C787" t="s">
        <v>36</v>
      </c>
      <c r="D787">
        <v>3.39</v>
      </c>
      <c r="E787">
        <v>110</v>
      </c>
      <c r="F787">
        <v>7.71</v>
      </c>
      <c r="G787">
        <v>92</v>
      </c>
      <c r="H787" s="1">
        <v>45008.784722222219</v>
      </c>
      <c r="I787" s="1">
        <v>45008.861111111109</v>
      </c>
      <c r="J787" s="1">
        <v>45008.781944444447</v>
      </c>
      <c r="K787" s="1">
        <v>45008.85833333333</v>
      </c>
      <c r="L787" t="s">
        <v>16</v>
      </c>
      <c r="M787" t="s">
        <v>20</v>
      </c>
    </row>
    <row r="788" spans="1:13" x14ac:dyDescent="0.3">
      <c r="A788" t="s">
        <v>816</v>
      </c>
      <c r="B788" t="s">
        <v>30</v>
      </c>
      <c r="C788" t="s">
        <v>15</v>
      </c>
      <c r="D788">
        <v>4.07</v>
      </c>
      <c r="E788">
        <v>92</v>
      </c>
      <c r="F788">
        <v>11.17</v>
      </c>
      <c r="G788">
        <v>89</v>
      </c>
      <c r="H788" s="1">
        <v>45008.791666666664</v>
      </c>
      <c r="I788" s="1">
        <v>45008.855555555558</v>
      </c>
      <c r="J788" s="1">
        <v>45008.791666666664</v>
      </c>
      <c r="K788" s="1">
        <v>45008.855555555558</v>
      </c>
      <c r="L788" t="s">
        <v>16</v>
      </c>
      <c r="M788" t="s">
        <v>17</v>
      </c>
    </row>
    <row r="789" spans="1:13" x14ac:dyDescent="0.3">
      <c r="A789" t="s">
        <v>817</v>
      </c>
      <c r="B789" t="s">
        <v>22</v>
      </c>
      <c r="C789" t="s">
        <v>36</v>
      </c>
      <c r="D789">
        <v>2.78</v>
      </c>
      <c r="E789">
        <v>85</v>
      </c>
      <c r="F789">
        <v>5.25</v>
      </c>
      <c r="G789">
        <v>95</v>
      </c>
      <c r="H789" s="1">
        <v>45008.798611111109</v>
      </c>
      <c r="I789" s="1">
        <v>45008.857638888891</v>
      </c>
      <c r="L789" t="s">
        <v>24</v>
      </c>
      <c r="M789" t="s">
        <v>20</v>
      </c>
    </row>
    <row r="790" spans="1:13" x14ac:dyDescent="0.3">
      <c r="A790" t="s">
        <v>818</v>
      </c>
      <c r="B790" t="s">
        <v>30</v>
      </c>
      <c r="C790" t="s">
        <v>15</v>
      </c>
      <c r="D790">
        <v>4.76</v>
      </c>
      <c r="E790">
        <v>25</v>
      </c>
      <c r="F790">
        <v>13.34</v>
      </c>
      <c r="G790">
        <v>97</v>
      </c>
      <c r="H790" s="1">
        <v>45008.805555555555</v>
      </c>
      <c r="I790" s="1">
        <v>45008.822916666664</v>
      </c>
      <c r="L790" t="s">
        <v>24</v>
      </c>
      <c r="M790" t="s">
        <v>20</v>
      </c>
    </row>
    <row r="791" spans="1:13" x14ac:dyDescent="0.3">
      <c r="A791" t="s">
        <v>819</v>
      </c>
      <c r="B791" t="s">
        <v>34</v>
      </c>
      <c r="C791" t="s">
        <v>32</v>
      </c>
      <c r="D791">
        <v>4.43</v>
      </c>
      <c r="E791">
        <v>28</v>
      </c>
      <c r="F791">
        <v>8.66</v>
      </c>
      <c r="G791">
        <v>98</v>
      </c>
      <c r="H791" s="1">
        <v>45008.8125</v>
      </c>
      <c r="I791" s="1">
        <v>45008.831944444442</v>
      </c>
      <c r="J791" s="1">
        <v>45008.809027777781</v>
      </c>
      <c r="K791" s="1">
        <v>45008.828472222223</v>
      </c>
      <c r="L791" t="s">
        <v>16</v>
      </c>
      <c r="M791" t="s">
        <v>20</v>
      </c>
    </row>
    <row r="792" spans="1:13" x14ac:dyDescent="0.3">
      <c r="A792" t="s">
        <v>820</v>
      </c>
      <c r="B792" t="s">
        <v>40</v>
      </c>
      <c r="C792" t="s">
        <v>23</v>
      </c>
      <c r="D792">
        <v>3.15</v>
      </c>
      <c r="E792">
        <v>106</v>
      </c>
      <c r="F792">
        <v>3.13</v>
      </c>
      <c r="G792">
        <v>92</v>
      </c>
      <c r="H792" s="1">
        <v>45008.819444444445</v>
      </c>
      <c r="I792" s="1">
        <v>45008.893055555556</v>
      </c>
      <c r="J792" s="1">
        <v>45008.816666666666</v>
      </c>
      <c r="K792" s="1">
        <v>45008.890277777777</v>
      </c>
      <c r="L792" t="s">
        <v>16</v>
      </c>
      <c r="M792" t="s">
        <v>20</v>
      </c>
    </row>
    <row r="793" spans="1:13" x14ac:dyDescent="0.3">
      <c r="A793" t="s">
        <v>821</v>
      </c>
      <c r="B793" t="s">
        <v>22</v>
      </c>
      <c r="C793" t="s">
        <v>23</v>
      </c>
      <c r="D793">
        <v>4.97</v>
      </c>
      <c r="E793">
        <v>70</v>
      </c>
      <c r="F793">
        <v>4.08</v>
      </c>
      <c r="G793">
        <v>93</v>
      </c>
      <c r="H793" s="1">
        <v>45008.826388888891</v>
      </c>
      <c r="I793" s="1">
        <v>45008.875</v>
      </c>
      <c r="J793" s="1">
        <v>45008.82916666667</v>
      </c>
      <c r="K793" s="1">
        <v>45008.87777777778</v>
      </c>
      <c r="L793" t="s">
        <v>16</v>
      </c>
      <c r="M793" t="s">
        <v>28</v>
      </c>
    </row>
    <row r="794" spans="1:13" x14ac:dyDescent="0.3">
      <c r="A794" t="s">
        <v>822</v>
      </c>
      <c r="B794" t="s">
        <v>40</v>
      </c>
      <c r="C794" t="s">
        <v>32</v>
      </c>
      <c r="D794">
        <v>1.41</v>
      </c>
      <c r="E794">
        <v>99</v>
      </c>
      <c r="F794">
        <v>8.8000000000000007</v>
      </c>
      <c r="G794">
        <v>90</v>
      </c>
      <c r="H794" s="1">
        <v>45008.833333333336</v>
      </c>
      <c r="I794" s="1">
        <v>45008.902083333334</v>
      </c>
      <c r="J794" s="1">
        <v>45008.831250000003</v>
      </c>
      <c r="K794" s="1">
        <v>45008.9</v>
      </c>
      <c r="L794" t="s">
        <v>16</v>
      </c>
      <c r="M794" t="s">
        <v>20</v>
      </c>
    </row>
    <row r="795" spans="1:13" x14ac:dyDescent="0.3">
      <c r="A795" t="s">
        <v>823</v>
      </c>
      <c r="B795" t="s">
        <v>34</v>
      </c>
      <c r="C795" t="s">
        <v>32</v>
      </c>
      <c r="D795">
        <v>3.28</v>
      </c>
      <c r="E795">
        <v>93</v>
      </c>
      <c r="F795">
        <v>6.66</v>
      </c>
      <c r="G795">
        <v>80</v>
      </c>
      <c r="H795" s="1">
        <v>45008.840277777781</v>
      </c>
      <c r="I795" s="1">
        <v>45008.904861111114</v>
      </c>
      <c r="J795" s="1">
        <v>45008.861111111109</v>
      </c>
      <c r="K795" s="1">
        <v>45008.925694444442</v>
      </c>
      <c r="L795" t="s">
        <v>19</v>
      </c>
      <c r="M795" t="s">
        <v>20</v>
      </c>
    </row>
    <row r="796" spans="1:13" x14ac:dyDescent="0.3">
      <c r="A796" t="s">
        <v>824</v>
      </c>
      <c r="B796" t="s">
        <v>14</v>
      </c>
      <c r="C796" t="s">
        <v>36</v>
      </c>
      <c r="D796">
        <v>4.17</v>
      </c>
      <c r="E796">
        <v>109</v>
      </c>
      <c r="F796">
        <v>3.07</v>
      </c>
      <c r="G796">
        <v>88</v>
      </c>
      <c r="H796" s="1">
        <v>45008.847222222219</v>
      </c>
      <c r="I796" s="1">
        <v>45008.92291666667</v>
      </c>
      <c r="J796" s="1">
        <v>45008.85833333333</v>
      </c>
      <c r="K796" s="1">
        <v>45008.934027777781</v>
      </c>
      <c r="L796" t="s">
        <v>19</v>
      </c>
      <c r="M796" t="s">
        <v>20</v>
      </c>
    </row>
    <row r="797" spans="1:13" x14ac:dyDescent="0.3">
      <c r="A797" t="s">
        <v>825</v>
      </c>
      <c r="B797" t="s">
        <v>14</v>
      </c>
      <c r="C797" t="s">
        <v>15</v>
      </c>
      <c r="D797">
        <v>3.76</v>
      </c>
      <c r="E797">
        <v>119</v>
      </c>
      <c r="F797">
        <v>11.52</v>
      </c>
      <c r="G797">
        <v>97</v>
      </c>
      <c r="H797" s="1">
        <v>45008.854166666664</v>
      </c>
      <c r="I797" s="1">
        <v>45008.936805555553</v>
      </c>
      <c r="L797" t="s">
        <v>24</v>
      </c>
      <c r="M797" t="s">
        <v>20</v>
      </c>
    </row>
    <row r="798" spans="1:13" x14ac:dyDescent="0.3">
      <c r="A798" t="s">
        <v>826</v>
      </c>
      <c r="B798" t="s">
        <v>30</v>
      </c>
      <c r="C798" t="s">
        <v>27</v>
      </c>
      <c r="D798">
        <v>4.21</v>
      </c>
      <c r="E798">
        <v>99</v>
      </c>
      <c r="F798">
        <v>2.67</v>
      </c>
      <c r="G798">
        <v>94</v>
      </c>
      <c r="H798" s="1">
        <v>45008.861111111109</v>
      </c>
      <c r="I798" s="1">
        <v>45008.929861111108</v>
      </c>
      <c r="J798" s="1">
        <v>45008.868750000001</v>
      </c>
      <c r="K798" s="1">
        <v>45008.9375</v>
      </c>
      <c r="L798" t="s">
        <v>19</v>
      </c>
      <c r="M798" t="s">
        <v>20</v>
      </c>
    </row>
    <row r="799" spans="1:13" x14ac:dyDescent="0.3">
      <c r="A799" t="s">
        <v>827</v>
      </c>
      <c r="B799" t="s">
        <v>40</v>
      </c>
      <c r="C799" t="s">
        <v>32</v>
      </c>
      <c r="D799">
        <v>3.76</v>
      </c>
      <c r="E799">
        <v>44</v>
      </c>
      <c r="F799">
        <v>10.31</v>
      </c>
      <c r="G799">
        <v>89</v>
      </c>
      <c r="H799" s="1">
        <v>45008.868055555555</v>
      </c>
      <c r="I799" s="1">
        <v>45008.898611111108</v>
      </c>
      <c r="J799" s="1">
        <v>45008.871527777781</v>
      </c>
      <c r="K799" s="1">
        <v>45008.902083333334</v>
      </c>
      <c r="L799" t="s">
        <v>16</v>
      </c>
      <c r="M799" t="s">
        <v>17</v>
      </c>
    </row>
    <row r="800" spans="1:13" x14ac:dyDescent="0.3">
      <c r="A800" t="s">
        <v>828</v>
      </c>
      <c r="B800" t="s">
        <v>34</v>
      </c>
      <c r="C800" t="s">
        <v>32</v>
      </c>
      <c r="D800">
        <v>4.7300000000000004</v>
      </c>
      <c r="E800">
        <v>104</v>
      </c>
      <c r="F800">
        <v>7.42</v>
      </c>
      <c r="G800">
        <v>95</v>
      </c>
      <c r="H800" s="1">
        <v>45008.875</v>
      </c>
      <c r="I800" s="1">
        <v>45008.947222222225</v>
      </c>
      <c r="J800" s="1">
        <v>45008.884027777778</v>
      </c>
      <c r="K800" s="1">
        <v>45008.956250000003</v>
      </c>
      <c r="L800" t="s">
        <v>19</v>
      </c>
      <c r="M800" t="s">
        <v>20</v>
      </c>
    </row>
    <row r="801" spans="1:13" x14ac:dyDescent="0.3">
      <c r="A801" t="s">
        <v>829</v>
      </c>
      <c r="B801" t="s">
        <v>14</v>
      </c>
      <c r="C801" t="s">
        <v>32</v>
      </c>
      <c r="D801">
        <v>1.56</v>
      </c>
      <c r="E801">
        <v>116</v>
      </c>
      <c r="F801">
        <v>10.24</v>
      </c>
      <c r="G801">
        <v>98</v>
      </c>
      <c r="H801" s="1">
        <v>45008.881944444445</v>
      </c>
      <c r="I801" s="1">
        <v>45008.962500000001</v>
      </c>
      <c r="J801" s="1">
        <v>45008.895138888889</v>
      </c>
      <c r="K801" s="1">
        <v>45008.975694444445</v>
      </c>
      <c r="L801" t="s">
        <v>19</v>
      </c>
      <c r="M801" t="s">
        <v>20</v>
      </c>
    </row>
    <row r="802" spans="1:13" x14ac:dyDescent="0.3">
      <c r="A802" t="s">
        <v>830</v>
      </c>
      <c r="B802" t="s">
        <v>40</v>
      </c>
      <c r="C802" t="s">
        <v>36</v>
      </c>
      <c r="D802">
        <v>1.73</v>
      </c>
      <c r="E802">
        <v>55</v>
      </c>
      <c r="F802">
        <v>9.06</v>
      </c>
      <c r="G802">
        <v>83</v>
      </c>
      <c r="H802" s="1">
        <v>45008.888888888891</v>
      </c>
      <c r="I802" s="1">
        <v>45008.927083333336</v>
      </c>
      <c r="J802" s="1">
        <v>45008.886111111111</v>
      </c>
      <c r="K802" s="1">
        <v>45008.924305555556</v>
      </c>
      <c r="L802" t="s">
        <v>16</v>
      </c>
      <c r="M802" t="s">
        <v>20</v>
      </c>
    </row>
    <row r="803" spans="1:13" x14ac:dyDescent="0.3">
      <c r="A803" t="s">
        <v>831</v>
      </c>
      <c r="B803" t="s">
        <v>14</v>
      </c>
      <c r="C803" t="s">
        <v>36</v>
      </c>
      <c r="D803">
        <v>2.4300000000000002</v>
      </c>
      <c r="E803">
        <v>114</v>
      </c>
      <c r="F803">
        <v>8.67</v>
      </c>
      <c r="G803">
        <v>83</v>
      </c>
      <c r="H803" s="1">
        <v>45008.895833333336</v>
      </c>
      <c r="I803" s="1">
        <v>45008.974999999999</v>
      </c>
      <c r="J803" s="1">
        <v>45008.895833333336</v>
      </c>
      <c r="K803" s="1">
        <v>45008.974999999999</v>
      </c>
      <c r="L803" t="s">
        <v>16</v>
      </c>
      <c r="M803" t="s">
        <v>28</v>
      </c>
    </row>
    <row r="804" spans="1:13" x14ac:dyDescent="0.3">
      <c r="A804" t="s">
        <v>832</v>
      </c>
      <c r="B804" t="s">
        <v>30</v>
      </c>
      <c r="C804" t="s">
        <v>23</v>
      </c>
      <c r="D804">
        <v>3.26</v>
      </c>
      <c r="E804">
        <v>104</v>
      </c>
      <c r="F804">
        <v>9.3000000000000007</v>
      </c>
      <c r="G804">
        <v>94</v>
      </c>
      <c r="H804" s="1">
        <v>45008.902777777781</v>
      </c>
      <c r="I804" s="1">
        <v>45008.974999999999</v>
      </c>
      <c r="L804" t="s">
        <v>24</v>
      </c>
      <c r="M804" t="s">
        <v>20</v>
      </c>
    </row>
    <row r="805" spans="1:13" x14ac:dyDescent="0.3">
      <c r="A805" t="s">
        <v>833</v>
      </c>
      <c r="B805" t="s">
        <v>40</v>
      </c>
      <c r="C805" t="s">
        <v>32</v>
      </c>
      <c r="D805">
        <v>3.31</v>
      </c>
      <c r="E805">
        <v>34</v>
      </c>
      <c r="F805">
        <v>3.84</v>
      </c>
      <c r="G805">
        <v>92</v>
      </c>
      <c r="H805" s="1">
        <v>45008.909722222219</v>
      </c>
      <c r="I805" s="1">
        <v>45008.933333333334</v>
      </c>
      <c r="J805" s="1">
        <v>45008.906944444447</v>
      </c>
      <c r="K805" s="1">
        <v>45008.930555555555</v>
      </c>
      <c r="L805" t="s">
        <v>16</v>
      </c>
      <c r="M805" t="s">
        <v>20</v>
      </c>
    </row>
    <row r="806" spans="1:13" x14ac:dyDescent="0.3">
      <c r="A806" t="s">
        <v>834</v>
      </c>
      <c r="B806" t="s">
        <v>40</v>
      </c>
      <c r="C806" t="s">
        <v>36</v>
      </c>
      <c r="D806">
        <v>3.95</v>
      </c>
      <c r="E806">
        <v>54</v>
      </c>
      <c r="F806">
        <v>8.32</v>
      </c>
      <c r="G806">
        <v>97</v>
      </c>
      <c r="H806" s="1">
        <v>45008.916666666664</v>
      </c>
      <c r="I806" s="1">
        <v>45008.95416666667</v>
      </c>
      <c r="J806" s="1">
        <v>45008.920138888891</v>
      </c>
      <c r="K806" s="1">
        <v>45008.957638888889</v>
      </c>
      <c r="L806" t="s">
        <v>16</v>
      </c>
      <c r="M806" t="s">
        <v>17</v>
      </c>
    </row>
    <row r="807" spans="1:13" x14ac:dyDescent="0.3">
      <c r="A807" t="s">
        <v>835</v>
      </c>
      <c r="B807" t="s">
        <v>30</v>
      </c>
      <c r="C807" t="s">
        <v>15</v>
      </c>
      <c r="D807">
        <v>4.33</v>
      </c>
      <c r="E807">
        <v>110</v>
      </c>
      <c r="F807">
        <v>2.38</v>
      </c>
      <c r="G807">
        <v>91</v>
      </c>
      <c r="H807" s="1">
        <v>45008.923611111109</v>
      </c>
      <c r="I807" s="1">
        <v>45009</v>
      </c>
      <c r="J807" s="1">
        <v>45008.920138888891</v>
      </c>
      <c r="K807" s="1">
        <v>45008.996527777781</v>
      </c>
      <c r="L807" t="s">
        <v>16</v>
      </c>
      <c r="M807" t="s">
        <v>20</v>
      </c>
    </row>
    <row r="808" spans="1:13" x14ac:dyDescent="0.3">
      <c r="A808" t="s">
        <v>836</v>
      </c>
      <c r="B808" t="s">
        <v>34</v>
      </c>
      <c r="C808" t="s">
        <v>32</v>
      </c>
      <c r="D808">
        <v>4.1100000000000003</v>
      </c>
      <c r="E808">
        <v>99</v>
      </c>
      <c r="F808">
        <v>7.53</v>
      </c>
      <c r="G808">
        <v>85</v>
      </c>
      <c r="H808" s="1">
        <v>45008.930555555555</v>
      </c>
      <c r="I808" s="1">
        <v>45008.999305555553</v>
      </c>
      <c r="J808" s="1">
        <v>45008.928472222222</v>
      </c>
      <c r="K808" s="1">
        <v>45008.99722222222</v>
      </c>
      <c r="L808" t="s">
        <v>16</v>
      </c>
      <c r="M808" t="s">
        <v>20</v>
      </c>
    </row>
    <row r="809" spans="1:13" x14ac:dyDescent="0.3">
      <c r="A809" t="s">
        <v>837</v>
      </c>
      <c r="B809" t="s">
        <v>34</v>
      </c>
      <c r="C809" t="s">
        <v>36</v>
      </c>
      <c r="D809">
        <v>4.7300000000000004</v>
      </c>
      <c r="E809">
        <v>114</v>
      </c>
      <c r="F809">
        <v>10.93</v>
      </c>
      <c r="G809">
        <v>84</v>
      </c>
      <c r="H809" s="1">
        <v>45008.9375</v>
      </c>
      <c r="I809" s="1">
        <v>45009.01666666667</v>
      </c>
      <c r="J809" s="1">
        <v>45008.934027777781</v>
      </c>
      <c r="K809" s="1">
        <v>45009.013194444444</v>
      </c>
      <c r="L809" t="s">
        <v>16</v>
      </c>
      <c r="M809" t="s">
        <v>20</v>
      </c>
    </row>
    <row r="810" spans="1:13" x14ac:dyDescent="0.3">
      <c r="A810" t="s">
        <v>838</v>
      </c>
      <c r="B810" t="s">
        <v>14</v>
      </c>
      <c r="C810" t="s">
        <v>23</v>
      </c>
      <c r="D810">
        <v>1.57</v>
      </c>
      <c r="E810">
        <v>93</v>
      </c>
      <c r="F810">
        <v>5.43</v>
      </c>
      <c r="G810">
        <v>89</v>
      </c>
      <c r="H810" s="1">
        <v>45008.944444444445</v>
      </c>
      <c r="I810" s="1">
        <v>45009.009027777778</v>
      </c>
      <c r="J810" s="1">
        <v>45008.940972222219</v>
      </c>
      <c r="K810" s="1">
        <v>45009.005555555559</v>
      </c>
      <c r="L810" t="s">
        <v>16</v>
      </c>
      <c r="M810" t="s">
        <v>20</v>
      </c>
    </row>
    <row r="811" spans="1:13" x14ac:dyDescent="0.3">
      <c r="A811" t="s">
        <v>839</v>
      </c>
      <c r="B811" t="s">
        <v>22</v>
      </c>
      <c r="C811" t="s">
        <v>36</v>
      </c>
      <c r="D811">
        <v>2.93</v>
      </c>
      <c r="E811">
        <v>84</v>
      </c>
      <c r="F811">
        <v>3.53</v>
      </c>
      <c r="G811">
        <v>86</v>
      </c>
      <c r="H811" s="1">
        <v>45008.951388888891</v>
      </c>
      <c r="I811" s="1">
        <v>45009.009722222225</v>
      </c>
      <c r="J811" s="1">
        <v>45008.95</v>
      </c>
      <c r="K811" s="1">
        <v>45009.008333333331</v>
      </c>
      <c r="L811" t="s">
        <v>16</v>
      </c>
      <c r="M811" t="s">
        <v>20</v>
      </c>
    </row>
    <row r="812" spans="1:13" x14ac:dyDescent="0.3">
      <c r="A812" t="s">
        <v>840</v>
      </c>
      <c r="B812" t="s">
        <v>14</v>
      </c>
      <c r="C812" t="s">
        <v>36</v>
      </c>
      <c r="D812">
        <v>1.25</v>
      </c>
      <c r="E812">
        <v>29</v>
      </c>
      <c r="F812">
        <v>7.98</v>
      </c>
      <c r="G812">
        <v>92</v>
      </c>
      <c r="H812" s="1">
        <v>45008.958333333336</v>
      </c>
      <c r="I812" s="1">
        <v>45008.978472222225</v>
      </c>
      <c r="J812" s="1">
        <v>45008.961805555555</v>
      </c>
      <c r="K812" s="1">
        <v>45008.981944444444</v>
      </c>
      <c r="L812" t="s">
        <v>16</v>
      </c>
      <c r="M812" t="s">
        <v>17</v>
      </c>
    </row>
    <row r="813" spans="1:13" x14ac:dyDescent="0.3">
      <c r="A813" t="s">
        <v>841</v>
      </c>
      <c r="B813" t="s">
        <v>34</v>
      </c>
      <c r="C813" t="s">
        <v>36</v>
      </c>
      <c r="D813">
        <v>2.37</v>
      </c>
      <c r="E813">
        <v>24</v>
      </c>
      <c r="F813">
        <v>10.78</v>
      </c>
      <c r="G813">
        <v>88</v>
      </c>
      <c r="H813" s="1">
        <v>45008.965277777781</v>
      </c>
      <c r="I813" s="1">
        <v>45008.981944444444</v>
      </c>
      <c r="J813" s="1">
        <v>45008.968055555553</v>
      </c>
      <c r="K813" s="1">
        <v>45008.984722222223</v>
      </c>
      <c r="L813" t="s">
        <v>16</v>
      </c>
      <c r="M813" t="s">
        <v>17</v>
      </c>
    </row>
    <row r="814" spans="1:13" x14ac:dyDescent="0.3">
      <c r="A814" t="s">
        <v>842</v>
      </c>
      <c r="B814" t="s">
        <v>34</v>
      </c>
      <c r="C814" t="s">
        <v>15</v>
      </c>
      <c r="D814">
        <v>1.86</v>
      </c>
      <c r="E814">
        <v>119</v>
      </c>
      <c r="F814">
        <v>3.48</v>
      </c>
      <c r="G814">
        <v>95</v>
      </c>
      <c r="H814" s="1">
        <v>45008.972222222219</v>
      </c>
      <c r="I814" s="1">
        <v>45009.054861111108</v>
      </c>
      <c r="J814" s="1">
        <v>45008.972916666666</v>
      </c>
      <c r="K814" s="1">
        <v>45009.055555555555</v>
      </c>
      <c r="L814" t="s">
        <v>16</v>
      </c>
      <c r="M814" t="s">
        <v>28</v>
      </c>
    </row>
    <row r="815" spans="1:13" x14ac:dyDescent="0.3">
      <c r="A815" t="s">
        <v>843</v>
      </c>
      <c r="B815" t="s">
        <v>30</v>
      </c>
      <c r="C815" t="s">
        <v>23</v>
      </c>
      <c r="D815">
        <v>3.83</v>
      </c>
      <c r="E815">
        <v>104</v>
      </c>
      <c r="F815">
        <v>14.05</v>
      </c>
      <c r="G815">
        <v>91</v>
      </c>
      <c r="H815" s="1">
        <v>45008.979166666664</v>
      </c>
      <c r="I815" s="1">
        <v>45009.051388888889</v>
      </c>
      <c r="J815" s="1">
        <v>45008.977083333331</v>
      </c>
      <c r="K815" s="1">
        <v>45009.049305555556</v>
      </c>
      <c r="L815" t="s">
        <v>16</v>
      </c>
      <c r="M815" t="s">
        <v>20</v>
      </c>
    </row>
    <row r="816" spans="1:13" x14ac:dyDescent="0.3">
      <c r="A816" t="s">
        <v>844</v>
      </c>
      <c r="B816" t="s">
        <v>22</v>
      </c>
      <c r="C816" t="s">
        <v>36</v>
      </c>
      <c r="D816">
        <v>2.35</v>
      </c>
      <c r="E816">
        <v>103</v>
      </c>
      <c r="F816">
        <v>4.9400000000000004</v>
      </c>
      <c r="G816">
        <v>85</v>
      </c>
      <c r="H816" s="1">
        <v>45008.986111111109</v>
      </c>
      <c r="I816" s="1">
        <v>45009.057638888888</v>
      </c>
      <c r="L816" t="s">
        <v>24</v>
      </c>
      <c r="M816" t="s">
        <v>20</v>
      </c>
    </row>
    <row r="817" spans="1:13" x14ac:dyDescent="0.3">
      <c r="A817" t="s">
        <v>845</v>
      </c>
      <c r="B817" t="s">
        <v>34</v>
      </c>
      <c r="C817" t="s">
        <v>32</v>
      </c>
      <c r="D817">
        <v>3.58</v>
      </c>
      <c r="E817">
        <v>34</v>
      </c>
      <c r="F817">
        <v>14.45</v>
      </c>
      <c r="G817">
        <v>96</v>
      </c>
      <c r="H817" s="1">
        <v>45008.993055555555</v>
      </c>
      <c r="I817" s="1">
        <v>45009.01666666667</v>
      </c>
      <c r="J817" s="1">
        <v>45008.995138888888</v>
      </c>
      <c r="K817" s="1">
        <v>45009.018750000003</v>
      </c>
      <c r="L817" t="s">
        <v>16</v>
      </c>
      <c r="M817" t="s">
        <v>17</v>
      </c>
    </row>
    <row r="818" spans="1:13" x14ac:dyDescent="0.3">
      <c r="A818" t="s">
        <v>846</v>
      </c>
      <c r="B818" t="s">
        <v>30</v>
      </c>
      <c r="C818" t="s">
        <v>36</v>
      </c>
      <c r="D818">
        <v>1.46</v>
      </c>
      <c r="E818">
        <v>66</v>
      </c>
      <c r="F818">
        <v>3.12</v>
      </c>
      <c r="G818">
        <v>95</v>
      </c>
      <c r="H818" s="1">
        <v>45009</v>
      </c>
      <c r="I818" s="1">
        <v>45009.04583333333</v>
      </c>
      <c r="J818" s="1">
        <v>45008.996527777781</v>
      </c>
      <c r="K818" s="1">
        <v>45009.042361111111</v>
      </c>
      <c r="L818" t="s">
        <v>16</v>
      </c>
      <c r="M818" t="s">
        <v>20</v>
      </c>
    </row>
    <row r="819" spans="1:13" x14ac:dyDescent="0.3">
      <c r="A819" t="s">
        <v>847</v>
      </c>
      <c r="B819" t="s">
        <v>14</v>
      </c>
      <c r="C819" t="s">
        <v>15</v>
      </c>
      <c r="D819">
        <v>4.3899999999999997</v>
      </c>
      <c r="E819">
        <v>61</v>
      </c>
      <c r="F819">
        <v>11.59</v>
      </c>
      <c r="G819">
        <v>84</v>
      </c>
      <c r="H819" s="1">
        <v>45009.006944444445</v>
      </c>
      <c r="I819" s="1">
        <v>45009.049305555556</v>
      </c>
      <c r="J819" s="1">
        <v>45009.004861111112</v>
      </c>
      <c r="K819" s="1">
        <v>45009.047222222223</v>
      </c>
      <c r="L819" t="s">
        <v>16</v>
      </c>
      <c r="M819" t="s">
        <v>20</v>
      </c>
    </row>
    <row r="820" spans="1:13" x14ac:dyDescent="0.3">
      <c r="A820" t="s">
        <v>848</v>
      </c>
      <c r="B820" t="s">
        <v>34</v>
      </c>
      <c r="C820" t="s">
        <v>32</v>
      </c>
      <c r="D820">
        <v>2.54</v>
      </c>
      <c r="E820">
        <v>72</v>
      </c>
      <c r="F820">
        <v>7.28</v>
      </c>
      <c r="G820">
        <v>81</v>
      </c>
      <c r="H820" s="1">
        <v>45009.013888888891</v>
      </c>
      <c r="I820" s="1">
        <v>45009.063888888886</v>
      </c>
      <c r="J820" s="1">
        <v>45009.017361111109</v>
      </c>
      <c r="K820" s="1">
        <v>45009.067361111112</v>
      </c>
      <c r="L820" t="s">
        <v>16</v>
      </c>
      <c r="M820" t="s">
        <v>17</v>
      </c>
    </row>
    <row r="821" spans="1:13" x14ac:dyDescent="0.3">
      <c r="A821" t="s">
        <v>849</v>
      </c>
      <c r="B821" t="s">
        <v>22</v>
      </c>
      <c r="C821" t="s">
        <v>27</v>
      </c>
      <c r="D821">
        <v>3.44</v>
      </c>
      <c r="E821">
        <v>109</v>
      </c>
      <c r="F821">
        <v>13.79</v>
      </c>
      <c r="G821">
        <v>85</v>
      </c>
      <c r="H821" s="1">
        <v>45009.020833333336</v>
      </c>
      <c r="I821" s="1">
        <v>45009.09652777778</v>
      </c>
      <c r="J821" s="1">
        <v>45009.036111111112</v>
      </c>
      <c r="K821" s="1">
        <v>45009.111805555556</v>
      </c>
      <c r="L821" t="s">
        <v>19</v>
      </c>
      <c r="M821" t="s">
        <v>20</v>
      </c>
    </row>
    <row r="822" spans="1:13" x14ac:dyDescent="0.3">
      <c r="A822" t="s">
        <v>850</v>
      </c>
      <c r="B822" t="s">
        <v>22</v>
      </c>
      <c r="C822" t="s">
        <v>36</v>
      </c>
      <c r="D822">
        <v>4.17</v>
      </c>
      <c r="E822">
        <v>24</v>
      </c>
      <c r="F822">
        <v>8.58</v>
      </c>
      <c r="G822">
        <v>92</v>
      </c>
      <c r="H822" s="1">
        <v>45009.027777777781</v>
      </c>
      <c r="I822" s="1">
        <v>45009.044444444444</v>
      </c>
      <c r="J822" s="1">
        <v>45009.030555555553</v>
      </c>
      <c r="K822" s="1">
        <v>45009.047222222223</v>
      </c>
      <c r="L822" t="s">
        <v>16</v>
      </c>
      <c r="M822" t="s">
        <v>17</v>
      </c>
    </row>
    <row r="823" spans="1:13" x14ac:dyDescent="0.3">
      <c r="A823" t="s">
        <v>851</v>
      </c>
      <c r="B823" t="s">
        <v>14</v>
      </c>
      <c r="C823" t="s">
        <v>36</v>
      </c>
      <c r="D823">
        <v>4.96</v>
      </c>
      <c r="E823">
        <v>90</v>
      </c>
      <c r="F823">
        <v>12.86</v>
      </c>
      <c r="G823">
        <v>97</v>
      </c>
      <c r="H823" s="1">
        <v>45009.034722222219</v>
      </c>
      <c r="I823" s="1">
        <v>45009.097222222219</v>
      </c>
      <c r="J823" s="1">
        <v>45009.03402777778</v>
      </c>
      <c r="K823" s="1">
        <v>45009.09652777778</v>
      </c>
      <c r="L823" t="s">
        <v>16</v>
      </c>
      <c r="M823" t="s">
        <v>20</v>
      </c>
    </row>
    <row r="824" spans="1:13" x14ac:dyDescent="0.3">
      <c r="A824" t="s">
        <v>852</v>
      </c>
      <c r="B824" t="s">
        <v>14</v>
      </c>
      <c r="C824" t="s">
        <v>27</v>
      </c>
      <c r="D824">
        <v>2.11</v>
      </c>
      <c r="E824">
        <v>94</v>
      </c>
      <c r="F824">
        <v>8.9499999999999993</v>
      </c>
      <c r="G824">
        <v>87</v>
      </c>
      <c r="H824" s="1">
        <v>45009.041666666664</v>
      </c>
      <c r="I824" s="1">
        <v>45009.106944444444</v>
      </c>
      <c r="J824" s="1">
        <v>45009.038888888892</v>
      </c>
      <c r="K824" s="1">
        <v>45009.104166666664</v>
      </c>
      <c r="L824" t="s">
        <v>16</v>
      </c>
      <c r="M824" t="s">
        <v>20</v>
      </c>
    </row>
    <row r="825" spans="1:13" x14ac:dyDescent="0.3">
      <c r="A825" t="s">
        <v>853</v>
      </c>
      <c r="B825" t="s">
        <v>34</v>
      </c>
      <c r="C825" t="s">
        <v>15</v>
      </c>
      <c r="D825">
        <v>4.09</v>
      </c>
      <c r="E825">
        <v>93</v>
      </c>
      <c r="F825">
        <v>2.9</v>
      </c>
      <c r="G825">
        <v>87</v>
      </c>
      <c r="H825" s="1">
        <v>45009.048611111109</v>
      </c>
      <c r="I825" s="1">
        <v>45009.113194444442</v>
      </c>
      <c r="J825" s="1">
        <v>45009.047222222223</v>
      </c>
      <c r="K825" s="1">
        <v>45009.111805555556</v>
      </c>
      <c r="L825" t="s">
        <v>16</v>
      </c>
      <c r="M825" t="s">
        <v>20</v>
      </c>
    </row>
    <row r="826" spans="1:13" x14ac:dyDescent="0.3">
      <c r="A826" t="s">
        <v>854</v>
      </c>
      <c r="B826" t="s">
        <v>30</v>
      </c>
      <c r="C826" t="s">
        <v>32</v>
      </c>
      <c r="D826">
        <v>4.8600000000000003</v>
      </c>
      <c r="E826">
        <v>33</v>
      </c>
      <c r="F826">
        <v>14</v>
      </c>
      <c r="G826">
        <v>91</v>
      </c>
      <c r="H826" s="1">
        <v>45009.055555555555</v>
      </c>
      <c r="I826" s="1">
        <v>45009.078472222223</v>
      </c>
      <c r="L826" t="s">
        <v>24</v>
      </c>
      <c r="M826" t="s">
        <v>20</v>
      </c>
    </row>
    <row r="827" spans="1:13" x14ac:dyDescent="0.3">
      <c r="A827" t="s">
        <v>855</v>
      </c>
      <c r="B827" t="s">
        <v>40</v>
      </c>
      <c r="C827" t="s">
        <v>27</v>
      </c>
      <c r="D827">
        <v>3.36</v>
      </c>
      <c r="E827">
        <v>67</v>
      </c>
      <c r="F827">
        <v>3.19</v>
      </c>
      <c r="G827">
        <v>93</v>
      </c>
      <c r="H827" s="1">
        <v>45009.0625</v>
      </c>
      <c r="I827" s="1">
        <v>45009.109027777777</v>
      </c>
      <c r="J827" s="1">
        <v>45009.061805555553</v>
      </c>
      <c r="K827" s="1">
        <v>45009.10833333333</v>
      </c>
      <c r="L827" t="s">
        <v>16</v>
      </c>
      <c r="M827" t="s">
        <v>20</v>
      </c>
    </row>
    <row r="828" spans="1:13" x14ac:dyDescent="0.3">
      <c r="A828" t="s">
        <v>856</v>
      </c>
      <c r="B828" t="s">
        <v>14</v>
      </c>
      <c r="C828" t="s">
        <v>32</v>
      </c>
      <c r="D828">
        <v>1.1100000000000001</v>
      </c>
      <c r="E828">
        <v>99</v>
      </c>
      <c r="F828">
        <v>12.67</v>
      </c>
      <c r="G828">
        <v>91</v>
      </c>
      <c r="H828" s="1">
        <v>45009.069444444445</v>
      </c>
      <c r="I828" s="1">
        <v>45009.138194444444</v>
      </c>
      <c r="J828" s="1">
        <v>45009.072916666664</v>
      </c>
      <c r="K828" s="1">
        <v>45009.14166666667</v>
      </c>
      <c r="L828" t="s">
        <v>16</v>
      </c>
      <c r="M828" t="s">
        <v>17</v>
      </c>
    </row>
    <row r="829" spans="1:13" x14ac:dyDescent="0.3">
      <c r="A829" t="s">
        <v>857</v>
      </c>
      <c r="B829" t="s">
        <v>40</v>
      </c>
      <c r="C829" t="s">
        <v>27</v>
      </c>
      <c r="D829">
        <v>3.51</v>
      </c>
      <c r="E829">
        <v>58</v>
      </c>
      <c r="F829">
        <v>10.11</v>
      </c>
      <c r="G829">
        <v>83</v>
      </c>
      <c r="H829" s="1">
        <v>45009.076388888891</v>
      </c>
      <c r="I829" s="1">
        <v>45009.116666666669</v>
      </c>
      <c r="J829" s="1">
        <v>45009.07708333333</v>
      </c>
      <c r="K829" s="1">
        <v>45009.117361111108</v>
      </c>
      <c r="L829" t="s">
        <v>16</v>
      </c>
      <c r="M829" t="s">
        <v>17</v>
      </c>
    </row>
    <row r="830" spans="1:13" x14ac:dyDescent="0.3">
      <c r="A830" t="s">
        <v>858</v>
      </c>
      <c r="B830" t="s">
        <v>40</v>
      </c>
      <c r="C830" t="s">
        <v>36</v>
      </c>
      <c r="D830">
        <v>2.94</v>
      </c>
      <c r="E830">
        <v>90</v>
      </c>
      <c r="F830">
        <v>9.06</v>
      </c>
      <c r="G830">
        <v>95</v>
      </c>
      <c r="H830" s="1">
        <v>45009.083333333336</v>
      </c>
      <c r="I830" s="1">
        <v>45009.145833333336</v>
      </c>
      <c r="L830" t="s">
        <v>24</v>
      </c>
      <c r="M830" t="s">
        <v>20</v>
      </c>
    </row>
    <row r="831" spans="1:13" x14ac:dyDescent="0.3">
      <c r="A831" t="s">
        <v>859</v>
      </c>
      <c r="B831" t="s">
        <v>22</v>
      </c>
      <c r="C831" t="s">
        <v>32</v>
      </c>
      <c r="D831">
        <v>2.73</v>
      </c>
      <c r="E831">
        <v>24</v>
      </c>
      <c r="F831">
        <v>3.36</v>
      </c>
      <c r="G831">
        <v>82</v>
      </c>
      <c r="H831" s="1">
        <v>45009.090277777781</v>
      </c>
      <c r="I831" s="1">
        <v>45009.106944444444</v>
      </c>
      <c r="J831" s="1">
        <v>45009.086805555555</v>
      </c>
      <c r="K831" s="1">
        <v>45009.103472222225</v>
      </c>
      <c r="L831" t="s">
        <v>16</v>
      </c>
      <c r="M831" t="s">
        <v>20</v>
      </c>
    </row>
    <row r="832" spans="1:13" x14ac:dyDescent="0.3">
      <c r="A832" t="s">
        <v>860</v>
      </c>
      <c r="B832" t="s">
        <v>34</v>
      </c>
      <c r="C832" t="s">
        <v>15</v>
      </c>
      <c r="D832">
        <v>4.88</v>
      </c>
      <c r="E832">
        <v>80</v>
      </c>
      <c r="F832">
        <v>12.55</v>
      </c>
      <c r="G832">
        <v>80</v>
      </c>
      <c r="H832" s="1">
        <v>45009.097222222219</v>
      </c>
      <c r="I832" s="1">
        <v>45009.152777777781</v>
      </c>
      <c r="J832" s="1">
        <v>45009.114583333336</v>
      </c>
      <c r="K832" s="1">
        <v>45009.170138888891</v>
      </c>
      <c r="L832" t="s">
        <v>19</v>
      </c>
      <c r="M832" t="s">
        <v>20</v>
      </c>
    </row>
    <row r="833" spans="1:13" x14ac:dyDescent="0.3">
      <c r="A833" t="s">
        <v>861</v>
      </c>
      <c r="B833" t="s">
        <v>14</v>
      </c>
      <c r="C833" t="s">
        <v>15</v>
      </c>
      <c r="D833">
        <v>3.68</v>
      </c>
      <c r="E833">
        <v>100</v>
      </c>
      <c r="F833">
        <v>12.13</v>
      </c>
      <c r="G833">
        <v>89</v>
      </c>
      <c r="H833" s="1">
        <v>45009.104166666664</v>
      </c>
      <c r="I833" s="1">
        <v>45009.173611111109</v>
      </c>
      <c r="J833" s="1">
        <v>45009.102777777778</v>
      </c>
      <c r="K833" s="1">
        <v>45009.172222222223</v>
      </c>
      <c r="L833" t="s">
        <v>16</v>
      </c>
      <c r="M833" t="s">
        <v>20</v>
      </c>
    </row>
    <row r="834" spans="1:13" x14ac:dyDescent="0.3">
      <c r="A834" t="s">
        <v>862</v>
      </c>
      <c r="B834" t="s">
        <v>30</v>
      </c>
      <c r="C834" t="s">
        <v>23</v>
      </c>
      <c r="D834">
        <v>4.3099999999999996</v>
      </c>
      <c r="E834">
        <v>89</v>
      </c>
      <c r="F834">
        <v>6.12</v>
      </c>
      <c r="G834">
        <v>96</v>
      </c>
      <c r="H834" s="1">
        <v>45009.111111111109</v>
      </c>
      <c r="I834" s="1">
        <v>45009.17291666667</v>
      </c>
      <c r="J834" s="1">
        <v>45009.114583333336</v>
      </c>
      <c r="K834" s="1">
        <v>45009.176388888889</v>
      </c>
      <c r="L834" t="s">
        <v>16</v>
      </c>
      <c r="M834" t="s">
        <v>28</v>
      </c>
    </row>
    <row r="835" spans="1:13" x14ac:dyDescent="0.3">
      <c r="A835" t="s">
        <v>863</v>
      </c>
      <c r="B835" t="s">
        <v>22</v>
      </c>
      <c r="C835" t="s">
        <v>32</v>
      </c>
      <c r="D835">
        <v>3.59</v>
      </c>
      <c r="E835">
        <v>71</v>
      </c>
      <c r="F835">
        <v>12.87</v>
      </c>
      <c r="G835">
        <v>80</v>
      </c>
      <c r="H835" s="1">
        <v>45009.118055555555</v>
      </c>
      <c r="I835" s="1">
        <v>45009.167361111111</v>
      </c>
      <c r="J835" s="1">
        <v>45009.121527777781</v>
      </c>
      <c r="K835" s="1">
        <v>45009.17083333333</v>
      </c>
      <c r="L835" t="s">
        <v>16</v>
      </c>
      <c r="M835" t="s">
        <v>17</v>
      </c>
    </row>
    <row r="836" spans="1:13" x14ac:dyDescent="0.3">
      <c r="A836" t="s">
        <v>864</v>
      </c>
      <c r="B836" t="s">
        <v>14</v>
      </c>
      <c r="C836" t="s">
        <v>15</v>
      </c>
      <c r="D836">
        <v>1.84</v>
      </c>
      <c r="E836">
        <v>60</v>
      </c>
      <c r="F836">
        <v>13.14</v>
      </c>
      <c r="G836">
        <v>84</v>
      </c>
      <c r="H836" s="1">
        <v>45009.125</v>
      </c>
      <c r="I836" s="1">
        <v>45009.166666666664</v>
      </c>
      <c r="J836" s="1">
        <v>45009.126388888886</v>
      </c>
      <c r="K836" s="1">
        <v>45009.168055555558</v>
      </c>
      <c r="L836" t="s">
        <v>16</v>
      </c>
      <c r="M836" t="s">
        <v>17</v>
      </c>
    </row>
    <row r="837" spans="1:13" x14ac:dyDescent="0.3">
      <c r="A837" t="s">
        <v>865</v>
      </c>
      <c r="B837" t="s">
        <v>40</v>
      </c>
      <c r="C837" t="s">
        <v>36</v>
      </c>
      <c r="D837">
        <v>1.45</v>
      </c>
      <c r="E837">
        <v>108</v>
      </c>
      <c r="F837">
        <v>12.05</v>
      </c>
      <c r="G837">
        <v>95</v>
      </c>
      <c r="H837" s="1">
        <v>45009.131944444445</v>
      </c>
      <c r="I837" s="1">
        <v>45009.206944444442</v>
      </c>
      <c r="J837" s="1">
        <v>45009.143055555556</v>
      </c>
      <c r="K837" s="1">
        <v>45009.218055555553</v>
      </c>
      <c r="L837" t="s">
        <v>19</v>
      </c>
      <c r="M837" t="s">
        <v>20</v>
      </c>
    </row>
    <row r="838" spans="1:13" x14ac:dyDescent="0.3">
      <c r="A838" t="s">
        <v>866</v>
      </c>
      <c r="B838" t="s">
        <v>34</v>
      </c>
      <c r="C838" t="s">
        <v>32</v>
      </c>
      <c r="D838">
        <v>4.38</v>
      </c>
      <c r="E838">
        <v>52</v>
      </c>
      <c r="F838">
        <v>3.56</v>
      </c>
      <c r="G838">
        <v>84</v>
      </c>
      <c r="H838" s="1">
        <v>45009.138888888891</v>
      </c>
      <c r="I838" s="1">
        <v>45009.175000000003</v>
      </c>
      <c r="L838" t="s">
        <v>24</v>
      </c>
      <c r="M838" t="s">
        <v>20</v>
      </c>
    </row>
    <row r="839" spans="1:13" x14ac:dyDescent="0.3">
      <c r="A839" t="s">
        <v>867</v>
      </c>
      <c r="B839" t="s">
        <v>30</v>
      </c>
      <c r="C839" t="s">
        <v>15</v>
      </c>
      <c r="D839">
        <v>1.93</v>
      </c>
      <c r="E839">
        <v>102</v>
      </c>
      <c r="F839">
        <v>4.4800000000000004</v>
      </c>
      <c r="G839">
        <v>80</v>
      </c>
      <c r="H839" s="1">
        <v>45009.145833333336</v>
      </c>
      <c r="I839" s="1">
        <v>45009.216666666667</v>
      </c>
      <c r="J839" s="1">
        <v>45009.143055555556</v>
      </c>
      <c r="K839" s="1">
        <v>45009.213888888888</v>
      </c>
      <c r="L839" t="s">
        <v>16</v>
      </c>
      <c r="M839" t="s">
        <v>20</v>
      </c>
    </row>
    <row r="840" spans="1:13" x14ac:dyDescent="0.3">
      <c r="A840" t="s">
        <v>868</v>
      </c>
      <c r="B840" t="s">
        <v>34</v>
      </c>
      <c r="C840" t="s">
        <v>32</v>
      </c>
      <c r="D840">
        <v>2.77</v>
      </c>
      <c r="E840">
        <v>74</v>
      </c>
      <c r="F840">
        <v>12.74</v>
      </c>
      <c r="G840">
        <v>98</v>
      </c>
      <c r="H840" s="1">
        <v>45009.152777777781</v>
      </c>
      <c r="I840" s="1">
        <v>45009.20416666667</v>
      </c>
      <c r="J840" s="1">
        <v>45009.152083333334</v>
      </c>
      <c r="K840" s="1">
        <v>45009.203472222223</v>
      </c>
      <c r="L840" t="s">
        <v>16</v>
      </c>
      <c r="M840" t="s">
        <v>20</v>
      </c>
    </row>
    <row r="841" spans="1:13" x14ac:dyDescent="0.3">
      <c r="A841" t="s">
        <v>869</v>
      </c>
      <c r="B841" t="s">
        <v>30</v>
      </c>
      <c r="C841" t="s">
        <v>15</v>
      </c>
      <c r="D841">
        <v>4.41</v>
      </c>
      <c r="E841">
        <v>118</v>
      </c>
      <c r="F841">
        <v>14</v>
      </c>
      <c r="G841">
        <v>98</v>
      </c>
      <c r="H841" s="1">
        <v>45009.159722222219</v>
      </c>
      <c r="I841" s="1">
        <v>45009.241666666669</v>
      </c>
      <c r="J841" s="1">
        <v>45009.158333333333</v>
      </c>
      <c r="K841" s="1">
        <v>45009.240277777775</v>
      </c>
      <c r="L841" t="s">
        <v>16</v>
      </c>
      <c r="M841" t="s">
        <v>20</v>
      </c>
    </row>
    <row r="842" spans="1:13" x14ac:dyDescent="0.3">
      <c r="A842" t="s">
        <v>870</v>
      </c>
      <c r="B842" t="s">
        <v>22</v>
      </c>
      <c r="C842" t="s">
        <v>32</v>
      </c>
      <c r="D842">
        <v>2.38</v>
      </c>
      <c r="E842">
        <v>91</v>
      </c>
      <c r="F842">
        <v>4.38</v>
      </c>
      <c r="G842">
        <v>94</v>
      </c>
      <c r="H842" s="1">
        <v>45009.166666666664</v>
      </c>
      <c r="I842" s="1">
        <v>45009.229861111111</v>
      </c>
      <c r="J842" s="1">
        <v>45009.174305555556</v>
      </c>
      <c r="K842" s="1">
        <v>45009.237500000003</v>
      </c>
      <c r="L842" t="s">
        <v>19</v>
      </c>
      <c r="M842" t="s">
        <v>20</v>
      </c>
    </row>
    <row r="843" spans="1:13" x14ac:dyDescent="0.3">
      <c r="A843" t="s">
        <v>871</v>
      </c>
      <c r="B843" t="s">
        <v>14</v>
      </c>
      <c r="C843" t="s">
        <v>32</v>
      </c>
      <c r="D843">
        <v>2.63</v>
      </c>
      <c r="E843">
        <v>88</v>
      </c>
      <c r="F843">
        <v>13.86</v>
      </c>
      <c r="G843">
        <v>83</v>
      </c>
      <c r="H843" s="1">
        <v>45009.173611111109</v>
      </c>
      <c r="I843" s="1">
        <v>45009.234722222223</v>
      </c>
      <c r="J843" s="1">
        <v>45009.183333333334</v>
      </c>
      <c r="K843" s="1">
        <v>45009.244444444441</v>
      </c>
      <c r="L843" t="s">
        <v>19</v>
      </c>
      <c r="M843" t="s">
        <v>20</v>
      </c>
    </row>
    <row r="844" spans="1:13" x14ac:dyDescent="0.3">
      <c r="A844" t="s">
        <v>872</v>
      </c>
      <c r="B844" t="s">
        <v>34</v>
      </c>
      <c r="C844" t="s">
        <v>15</v>
      </c>
      <c r="D844">
        <v>3.36</v>
      </c>
      <c r="E844">
        <v>61</v>
      </c>
      <c r="F844">
        <v>8.8800000000000008</v>
      </c>
      <c r="G844">
        <v>87</v>
      </c>
      <c r="H844" s="1">
        <v>45009.180555555555</v>
      </c>
      <c r="I844" s="1">
        <v>45009.222916666666</v>
      </c>
      <c r="J844" s="1">
        <v>45009.180555555555</v>
      </c>
      <c r="K844" s="1">
        <v>45009.222916666666</v>
      </c>
      <c r="L844" t="s">
        <v>16</v>
      </c>
      <c r="M844" t="s">
        <v>28</v>
      </c>
    </row>
    <row r="845" spans="1:13" x14ac:dyDescent="0.3">
      <c r="A845" t="s">
        <v>873</v>
      </c>
      <c r="B845" t="s">
        <v>22</v>
      </c>
      <c r="C845" t="s">
        <v>36</v>
      </c>
      <c r="D845">
        <v>1.91</v>
      </c>
      <c r="E845">
        <v>58</v>
      </c>
      <c r="F845">
        <v>8.75</v>
      </c>
      <c r="G845">
        <v>96</v>
      </c>
      <c r="H845" s="1">
        <v>45009.1875</v>
      </c>
      <c r="I845" s="1">
        <v>45009.227777777778</v>
      </c>
      <c r="J845" s="1">
        <v>45009.184027777781</v>
      </c>
      <c r="K845" s="1">
        <v>45009.224305555559</v>
      </c>
      <c r="L845" t="s">
        <v>16</v>
      </c>
      <c r="M845" t="s">
        <v>20</v>
      </c>
    </row>
    <row r="846" spans="1:13" x14ac:dyDescent="0.3">
      <c r="A846" t="s">
        <v>874</v>
      </c>
      <c r="B846" t="s">
        <v>22</v>
      </c>
      <c r="C846" t="s">
        <v>27</v>
      </c>
      <c r="D846">
        <v>2.1</v>
      </c>
      <c r="E846">
        <v>40</v>
      </c>
      <c r="F846">
        <v>14.19</v>
      </c>
      <c r="G846">
        <v>97</v>
      </c>
      <c r="H846" s="1">
        <v>45009.194444444445</v>
      </c>
      <c r="I846" s="1">
        <v>45009.222222222219</v>
      </c>
      <c r="J846" s="1">
        <v>45009.195138888892</v>
      </c>
      <c r="K846" s="1">
        <v>45009.222916666666</v>
      </c>
      <c r="L846" t="s">
        <v>16</v>
      </c>
      <c r="M846" t="s">
        <v>17</v>
      </c>
    </row>
    <row r="847" spans="1:13" x14ac:dyDescent="0.3">
      <c r="A847" t="s">
        <v>875</v>
      </c>
      <c r="B847" t="s">
        <v>14</v>
      </c>
      <c r="C847" t="s">
        <v>23</v>
      </c>
      <c r="D847">
        <v>3.05</v>
      </c>
      <c r="E847">
        <v>91</v>
      </c>
      <c r="F847">
        <v>8.59</v>
      </c>
      <c r="G847">
        <v>91</v>
      </c>
      <c r="H847" s="1">
        <v>45009.201388888891</v>
      </c>
      <c r="I847" s="1">
        <v>45009.26458333333</v>
      </c>
      <c r="J847" s="1">
        <v>45009.197916666664</v>
      </c>
      <c r="K847" s="1">
        <v>45009.261111111111</v>
      </c>
      <c r="L847" t="s">
        <v>16</v>
      </c>
      <c r="M847" t="s">
        <v>20</v>
      </c>
    </row>
    <row r="848" spans="1:13" x14ac:dyDescent="0.3">
      <c r="A848" t="s">
        <v>876</v>
      </c>
      <c r="B848" t="s">
        <v>22</v>
      </c>
      <c r="C848" t="s">
        <v>32</v>
      </c>
      <c r="D848">
        <v>1.87</v>
      </c>
      <c r="E848">
        <v>73</v>
      </c>
      <c r="F848">
        <v>6.05</v>
      </c>
      <c r="G848">
        <v>92</v>
      </c>
      <c r="H848" s="1">
        <v>45009.208333333336</v>
      </c>
      <c r="I848" s="1">
        <v>45009.259027777778</v>
      </c>
      <c r="L848" t="s">
        <v>24</v>
      </c>
      <c r="M848" t="s">
        <v>20</v>
      </c>
    </row>
    <row r="849" spans="1:13" x14ac:dyDescent="0.3">
      <c r="A849" t="s">
        <v>877</v>
      </c>
      <c r="B849" t="s">
        <v>30</v>
      </c>
      <c r="C849" t="s">
        <v>15</v>
      </c>
      <c r="D849">
        <v>1.07</v>
      </c>
      <c r="E849">
        <v>86</v>
      </c>
      <c r="F849">
        <v>6.85</v>
      </c>
      <c r="G849">
        <v>95</v>
      </c>
      <c r="H849" s="1">
        <v>45009.215277777781</v>
      </c>
      <c r="I849" s="1">
        <v>45009.275000000001</v>
      </c>
      <c r="J849" s="1">
        <v>45009.213194444441</v>
      </c>
      <c r="K849" s="1">
        <v>45009.272916666669</v>
      </c>
      <c r="L849" t="s">
        <v>16</v>
      </c>
      <c r="M849" t="s">
        <v>20</v>
      </c>
    </row>
    <row r="850" spans="1:13" x14ac:dyDescent="0.3">
      <c r="A850" t="s">
        <v>878</v>
      </c>
      <c r="B850" t="s">
        <v>34</v>
      </c>
      <c r="C850" t="s">
        <v>15</v>
      </c>
      <c r="D850">
        <v>2.81</v>
      </c>
      <c r="E850">
        <v>53</v>
      </c>
      <c r="F850">
        <v>8.73</v>
      </c>
      <c r="G850">
        <v>83</v>
      </c>
      <c r="H850" s="1">
        <v>45009.222222222219</v>
      </c>
      <c r="I850" s="1">
        <v>45009.259027777778</v>
      </c>
      <c r="J850" s="1">
        <v>45009.22152777778</v>
      </c>
      <c r="K850" s="1">
        <v>45009.258333333331</v>
      </c>
      <c r="L850" t="s">
        <v>16</v>
      </c>
      <c r="M850" t="s">
        <v>20</v>
      </c>
    </row>
    <row r="851" spans="1:13" x14ac:dyDescent="0.3">
      <c r="A851" t="s">
        <v>879</v>
      </c>
      <c r="B851" t="s">
        <v>34</v>
      </c>
      <c r="C851" t="s">
        <v>32</v>
      </c>
      <c r="D851">
        <v>2.27</v>
      </c>
      <c r="E851">
        <v>111</v>
      </c>
      <c r="F851">
        <v>6.5</v>
      </c>
      <c r="G851">
        <v>90</v>
      </c>
      <c r="H851" s="1">
        <v>45009.229166666664</v>
      </c>
      <c r="I851" s="1">
        <v>45009.306250000001</v>
      </c>
      <c r="L851" t="s">
        <v>24</v>
      </c>
      <c r="M851" t="s">
        <v>20</v>
      </c>
    </row>
    <row r="852" spans="1:13" x14ac:dyDescent="0.3">
      <c r="A852" t="s">
        <v>880</v>
      </c>
      <c r="B852" t="s">
        <v>30</v>
      </c>
      <c r="C852" t="s">
        <v>23</v>
      </c>
      <c r="D852">
        <v>1.63</v>
      </c>
      <c r="E852">
        <v>30</v>
      </c>
      <c r="F852">
        <v>13.94</v>
      </c>
      <c r="G852">
        <v>82</v>
      </c>
      <c r="H852" s="1">
        <v>45009.236111111109</v>
      </c>
      <c r="I852" s="1">
        <v>45009.256944444445</v>
      </c>
      <c r="L852" t="s">
        <v>24</v>
      </c>
      <c r="M852" t="s">
        <v>20</v>
      </c>
    </row>
    <row r="853" spans="1:13" x14ac:dyDescent="0.3">
      <c r="A853" t="s">
        <v>881</v>
      </c>
      <c r="B853" t="s">
        <v>30</v>
      </c>
      <c r="C853" t="s">
        <v>15</v>
      </c>
      <c r="D853">
        <v>2.4</v>
      </c>
      <c r="E853">
        <v>68</v>
      </c>
      <c r="F853">
        <v>14.78</v>
      </c>
      <c r="G853">
        <v>85</v>
      </c>
      <c r="H853" s="1">
        <v>45009.243055555555</v>
      </c>
      <c r="I853" s="1">
        <v>45009.290277777778</v>
      </c>
      <c r="J853" s="1">
        <v>45009.261805555558</v>
      </c>
      <c r="K853" s="1">
        <v>45009.309027777781</v>
      </c>
      <c r="L853" t="s">
        <v>19</v>
      </c>
      <c r="M853" t="s">
        <v>20</v>
      </c>
    </row>
    <row r="854" spans="1:13" x14ac:dyDescent="0.3">
      <c r="A854" t="s">
        <v>882</v>
      </c>
      <c r="B854" t="s">
        <v>40</v>
      </c>
      <c r="C854" t="s">
        <v>23</v>
      </c>
      <c r="D854">
        <v>4.6399999999999997</v>
      </c>
      <c r="E854">
        <v>86</v>
      </c>
      <c r="F854">
        <v>11.14</v>
      </c>
      <c r="G854">
        <v>89</v>
      </c>
      <c r="H854" s="1">
        <v>45009.25</v>
      </c>
      <c r="I854" s="1">
        <v>45009.30972222222</v>
      </c>
      <c r="J854" s="1">
        <v>45009.247916666667</v>
      </c>
      <c r="K854" s="1">
        <v>45009.307638888888</v>
      </c>
      <c r="L854" t="s">
        <v>16</v>
      </c>
      <c r="M854" t="s">
        <v>20</v>
      </c>
    </row>
    <row r="855" spans="1:13" x14ac:dyDescent="0.3">
      <c r="A855" t="s">
        <v>883</v>
      </c>
      <c r="B855" t="s">
        <v>34</v>
      </c>
      <c r="C855" t="s">
        <v>32</v>
      </c>
      <c r="D855">
        <v>3.38</v>
      </c>
      <c r="E855">
        <v>68</v>
      </c>
      <c r="F855">
        <v>12.99</v>
      </c>
      <c r="G855">
        <v>83</v>
      </c>
      <c r="H855" s="1">
        <v>45009.256944444445</v>
      </c>
      <c r="I855" s="1">
        <v>45009.304166666669</v>
      </c>
      <c r="J855" s="1">
        <v>45009.259722222225</v>
      </c>
      <c r="K855" s="1">
        <v>45009.306944444441</v>
      </c>
      <c r="L855" t="s">
        <v>16</v>
      </c>
      <c r="M855" t="s">
        <v>17</v>
      </c>
    </row>
    <row r="856" spans="1:13" x14ac:dyDescent="0.3">
      <c r="A856" t="s">
        <v>884</v>
      </c>
      <c r="B856" t="s">
        <v>22</v>
      </c>
      <c r="C856" t="s">
        <v>27</v>
      </c>
      <c r="D856">
        <v>3.63</v>
      </c>
      <c r="E856">
        <v>90</v>
      </c>
      <c r="F856">
        <v>13.56</v>
      </c>
      <c r="G856">
        <v>81</v>
      </c>
      <c r="H856" s="1">
        <v>45009.263888888891</v>
      </c>
      <c r="I856" s="1">
        <v>45009.326388888891</v>
      </c>
      <c r="J856" s="1">
        <v>45009.26458333333</v>
      </c>
      <c r="K856" s="1">
        <v>45009.32708333333</v>
      </c>
      <c r="L856" t="s">
        <v>16</v>
      </c>
      <c r="M856" t="s">
        <v>17</v>
      </c>
    </row>
    <row r="857" spans="1:13" x14ac:dyDescent="0.3">
      <c r="A857" t="s">
        <v>885</v>
      </c>
      <c r="B857" t="s">
        <v>22</v>
      </c>
      <c r="C857" t="s">
        <v>32</v>
      </c>
      <c r="D857">
        <v>1.71</v>
      </c>
      <c r="E857">
        <v>62</v>
      </c>
      <c r="F857">
        <v>7.53</v>
      </c>
      <c r="G857">
        <v>96</v>
      </c>
      <c r="H857" s="1">
        <v>45009.270833333336</v>
      </c>
      <c r="I857" s="1">
        <v>45009.313888888886</v>
      </c>
      <c r="L857" t="s">
        <v>24</v>
      </c>
      <c r="M857" t="s">
        <v>20</v>
      </c>
    </row>
    <row r="858" spans="1:13" x14ac:dyDescent="0.3">
      <c r="A858" t="s">
        <v>886</v>
      </c>
      <c r="B858" t="s">
        <v>22</v>
      </c>
      <c r="C858" t="s">
        <v>23</v>
      </c>
      <c r="D858">
        <v>2.1800000000000002</v>
      </c>
      <c r="E858">
        <v>62</v>
      </c>
      <c r="F858">
        <v>13.79</v>
      </c>
      <c r="G858">
        <v>87</v>
      </c>
      <c r="H858" s="1">
        <v>45009.277777777781</v>
      </c>
      <c r="I858" s="1">
        <v>45009.320833333331</v>
      </c>
      <c r="J858" s="1">
        <v>45009.280555555553</v>
      </c>
      <c r="K858" s="1">
        <v>45009.323611111111</v>
      </c>
      <c r="L858" t="s">
        <v>16</v>
      </c>
      <c r="M858" t="s">
        <v>17</v>
      </c>
    </row>
    <row r="859" spans="1:13" x14ac:dyDescent="0.3">
      <c r="A859" t="s">
        <v>887</v>
      </c>
      <c r="B859" t="s">
        <v>40</v>
      </c>
      <c r="C859" t="s">
        <v>23</v>
      </c>
      <c r="D859">
        <v>3.5</v>
      </c>
      <c r="E859">
        <v>114</v>
      </c>
      <c r="F859">
        <v>5.38</v>
      </c>
      <c r="G859">
        <v>84</v>
      </c>
      <c r="H859" s="1">
        <v>45009.284722222219</v>
      </c>
      <c r="I859" s="1">
        <v>45009.363888888889</v>
      </c>
      <c r="J859" s="1">
        <v>45009.283333333333</v>
      </c>
      <c r="K859" s="1">
        <v>45009.362500000003</v>
      </c>
      <c r="L859" t="s">
        <v>16</v>
      </c>
      <c r="M859" t="s">
        <v>20</v>
      </c>
    </row>
    <row r="860" spans="1:13" x14ac:dyDescent="0.3">
      <c r="A860" t="s">
        <v>888</v>
      </c>
      <c r="B860" t="s">
        <v>22</v>
      </c>
      <c r="C860" t="s">
        <v>32</v>
      </c>
      <c r="D860">
        <v>3.95</v>
      </c>
      <c r="E860">
        <v>28</v>
      </c>
      <c r="F860">
        <v>10.09</v>
      </c>
      <c r="G860">
        <v>86</v>
      </c>
      <c r="H860" s="1">
        <v>45009.291666666664</v>
      </c>
      <c r="I860" s="1">
        <v>45009.311111111114</v>
      </c>
      <c r="J860" s="1">
        <v>45009.307638888888</v>
      </c>
      <c r="K860" s="1">
        <v>45009.32708333333</v>
      </c>
      <c r="L860" t="s">
        <v>19</v>
      </c>
      <c r="M860" t="s">
        <v>20</v>
      </c>
    </row>
    <row r="861" spans="1:13" x14ac:dyDescent="0.3">
      <c r="A861" t="s">
        <v>889</v>
      </c>
      <c r="B861" t="s">
        <v>22</v>
      </c>
      <c r="C861" t="s">
        <v>27</v>
      </c>
      <c r="D861">
        <v>4.42</v>
      </c>
      <c r="E861">
        <v>102</v>
      </c>
      <c r="F861">
        <v>8.07</v>
      </c>
      <c r="G861">
        <v>95</v>
      </c>
      <c r="H861" s="1">
        <v>45009.298611111109</v>
      </c>
      <c r="I861" s="1">
        <v>45009.369444444441</v>
      </c>
      <c r="J861" s="1">
        <v>45009.298611111109</v>
      </c>
      <c r="K861" s="1">
        <v>45009.369444444441</v>
      </c>
      <c r="L861" t="s">
        <v>16</v>
      </c>
      <c r="M861" t="s">
        <v>28</v>
      </c>
    </row>
    <row r="862" spans="1:13" x14ac:dyDescent="0.3">
      <c r="A862" t="s">
        <v>890</v>
      </c>
      <c r="B862" t="s">
        <v>40</v>
      </c>
      <c r="C862" t="s">
        <v>36</v>
      </c>
      <c r="D862">
        <v>2.17</v>
      </c>
      <c r="E862">
        <v>68</v>
      </c>
      <c r="F862">
        <v>12.7</v>
      </c>
      <c r="G862">
        <v>98</v>
      </c>
      <c r="H862" s="1">
        <v>45009.305555555555</v>
      </c>
      <c r="I862" s="1">
        <v>45009.352777777778</v>
      </c>
      <c r="L862" t="s">
        <v>24</v>
      </c>
      <c r="M862" t="s">
        <v>20</v>
      </c>
    </row>
    <row r="863" spans="1:13" x14ac:dyDescent="0.3">
      <c r="A863" t="s">
        <v>891</v>
      </c>
      <c r="B863" t="s">
        <v>14</v>
      </c>
      <c r="C863" t="s">
        <v>27</v>
      </c>
      <c r="D863">
        <v>3.2</v>
      </c>
      <c r="E863">
        <v>56</v>
      </c>
      <c r="F863">
        <v>2.5</v>
      </c>
      <c r="G863">
        <v>84</v>
      </c>
      <c r="H863" s="1">
        <v>45009.3125</v>
      </c>
      <c r="I863" s="1">
        <v>45009.351388888892</v>
      </c>
      <c r="J863" s="1">
        <v>45009.324999999997</v>
      </c>
      <c r="K863" s="1">
        <v>45009.363888888889</v>
      </c>
      <c r="L863" t="s">
        <v>19</v>
      </c>
      <c r="M863" t="s">
        <v>20</v>
      </c>
    </row>
    <row r="864" spans="1:13" x14ac:dyDescent="0.3">
      <c r="A864" t="s">
        <v>892</v>
      </c>
      <c r="B864" t="s">
        <v>40</v>
      </c>
      <c r="C864" t="s">
        <v>32</v>
      </c>
      <c r="D864">
        <v>2.91</v>
      </c>
      <c r="E864">
        <v>77</v>
      </c>
      <c r="F864">
        <v>9.83</v>
      </c>
      <c r="G864">
        <v>90</v>
      </c>
      <c r="H864" s="1">
        <v>45009.319444444445</v>
      </c>
      <c r="I864" s="1">
        <v>45009.372916666667</v>
      </c>
      <c r="J864" s="1">
        <v>45009.322916666664</v>
      </c>
      <c r="K864" s="1">
        <v>45009.376388888886</v>
      </c>
      <c r="L864" t="s">
        <v>16</v>
      </c>
      <c r="M864" t="s">
        <v>17</v>
      </c>
    </row>
    <row r="865" spans="1:13" x14ac:dyDescent="0.3">
      <c r="A865" t="s">
        <v>893</v>
      </c>
      <c r="B865" t="s">
        <v>30</v>
      </c>
      <c r="C865" t="s">
        <v>15</v>
      </c>
      <c r="D865">
        <v>4.28</v>
      </c>
      <c r="E865">
        <v>79</v>
      </c>
      <c r="F865">
        <v>10.56</v>
      </c>
      <c r="G865">
        <v>99</v>
      </c>
      <c r="H865" s="1">
        <v>45009.326388888891</v>
      </c>
      <c r="I865" s="1">
        <v>45009.381249999999</v>
      </c>
      <c r="J865" s="1">
        <v>45009.328472222223</v>
      </c>
      <c r="K865" s="1">
        <v>45009.383333333331</v>
      </c>
      <c r="L865" t="s">
        <v>16</v>
      </c>
      <c r="M865" t="s">
        <v>17</v>
      </c>
    </row>
    <row r="866" spans="1:13" x14ac:dyDescent="0.3">
      <c r="A866" t="s">
        <v>894</v>
      </c>
      <c r="B866" t="s">
        <v>22</v>
      </c>
      <c r="C866" t="s">
        <v>36</v>
      </c>
      <c r="D866">
        <v>1.95</v>
      </c>
      <c r="E866">
        <v>77</v>
      </c>
      <c r="F866">
        <v>7.76</v>
      </c>
      <c r="G866">
        <v>99</v>
      </c>
      <c r="H866" s="1">
        <v>45009.333333333336</v>
      </c>
      <c r="I866" s="1">
        <v>45009.386805555558</v>
      </c>
      <c r="J866" s="1">
        <v>45009.335416666669</v>
      </c>
      <c r="K866" s="1">
        <v>45009.388888888891</v>
      </c>
      <c r="L866" t="s">
        <v>16</v>
      </c>
      <c r="M866" t="s">
        <v>28</v>
      </c>
    </row>
    <row r="867" spans="1:13" x14ac:dyDescent="0.3">
      <c r="A867" t="s">
        <v>895</v>
      </c>
      <c r="B867" t="s">
        <v>14</v>
      </c>
      <c r="C867" t="s">
        <v>15</v>
      </c>
      <c r="D867">
        <v>4.32</v>
      </c>
      <c r="E867">
        <v>33</v>
      </c>
      <c r="F867">
        <v>2.4700000000000002</v>
      </c>
      <c r="G867">
        <v>88</v>
      </c>
      <c r="H867" s="1">
        <v>45009.340277777781</v>
      </c>
      <c r="I867" s="1">
        <v>45009.363194444442</v>
      </c>
      <c r="J867" s="1">
        <v>45009.338194444441</v>
      </c>
      <c r="K867" s="1">
        <v>45009.361111111109</v>
      </c>
      <c r="L867" t="s">
        <v>16</v>
      </c>
      <c r="M867" t="s">
        <v>20</v>
      </c>
    </row>
    <row r="868" spans="1:13" x14ac:dyDescent="0.3">
      <c r="A868" t="s">
        <v>896</v>
      </c>
      <c r="B868" t="s">
        <v>30</v>
      </c>
      <c r="C868" t="s">
        <v>36</v>
      </c>
      <c r="D868">
        <v>4.1399999999999997</v>
      </c>
      <c r="E868">
        <v>81</v>
      </c>
      <c r="F868">
        <v>3.42</v>
      </c>
      <c r="G868">
        <v>88</v>
      </c>
      <c r="H868" s="1">
        <v>45009.347222222219</v>
      </c>
      <c r="I868" s="1">
        <v>45009.40347222222</v>
      </c>
      <c r="J868" s="1">
        <v>45009.354861111111</v>
      </c>
      <c r="K868" s="1">
        <v>45009.411111111112</v>
      </c>
      <c r="L868" t="s">
        <v>19</v>
      </c>
      <c r="M868" t="s">
        <v>20</v>
      </c>
    </row>
    <row r="869" spans="1:13" x14ac:dyDescent="0.3">
      <c r="A869" t="s">
        <v>897</v>
      </c>
      <c r="B869" t="s">
        <v>22</v>
      </c>
      <c r="C869" t="s">
        <v>32</v>
      </c>
      <c r="D869">
        <v>2.2999999999999998</v>
      </c>
      <c r="E869">
        <v>33</v>
      </c>
      <c r="F869">
        <v>7.36</v>
      </c>
      <c r="G869">
        <v>80</v>
      </c>
      <c r="H869" s="1">
        <v>45009.354166666664</v>
      </c>
      <c r="I869" s="1">
        <v>45009.377083333333</v>
      </c>
      <c r="J869" s="1">
        <v>45009.369444444441</v>
      </c>
      <c r="K869" s="1">
        <v>45009.392361111109</v>
      </c>
      <c r="L869" t="s">
        <v>19</v>
      </c>
      <c r="M869" t="s">
        <v>20</v>
      </c>
    </row>
    <row r="870" spans="1:13" x14ac:dyDescent="0.3">
      <c r="A870" t="s">
        <v>898</v>
      </c>
      <c r="B870" t="s">
        <v>22</v>
      </c>
      <c r="C870" t="s">
        <v>27</v>
      </c>
      <c r="D870">
        <v>4.8099999999999996</v>
      </c>
      <c r="E870">
        <v>39</v>
      </c>
      <c r="F870">
        <v>13.37</v>
      </c>
      <c r="G870">
        <v>88</v>
      </c>
      <c r="H870" s="1">
        <v>45009.361111111109</v>
      </c>
      <c r="I870" s="1">
        <v>45009.388194444444</v>
      </c>
      <c r="J870" s="1">
        <v>45009.361111111109</v>
      </c>
      <c r="K870" s="1">
        <v>45009.388194444444</v>
      </c>
      <c r="L870" t="s">
        <v>16</v>
      </c>
      <c r="M870" t="s">
        <v>17</v>
      </c>
    </row>
    <row r="871" spans="1:13" x14ac:dyDescent="0.3">
      <c r="A871" t="s">
        <v>899</v>
      </c>
      <c r="B871" t="s">
        <v>14</v>
      </c>
      <c r="C871" t="s">
        <v>32</v>
      </c>
      <c r="D871">
        <v>2.68</v>
      </c>
      <c r="E871">
        <v>79</v>
      </c>
      <c r="F871">
        <v>12.19</v>
      </c>
      <c r="G871">
        <v>88</v>
      </c>
      <c r="H871" s="1">
        <v>45009.368055555555</v>
      </c>
      <c r="I871" s="1">
        <v>45009.42291666667</v>
      </c>
      <c r="J871" s="1">
        <v>45009.371527777781</v>
      </c>
      <c r="K871" s="1">
        <v>45009.426388888889</v>
      </c>
      <c r="L871" t="s">
        <v>16</v>
      </c>
      <c r="M871" t="s">
        <v>17</v>
      </c>
    </row>
    <row r="872" spans="1:13" x14ac:dyDescent="0.3">
      <c r="A872" t="s">
        <v>900</v>
      </c>
      <c r="B872" t="s">
        <v>40</v>
      </c>
      <c r="C872" t="s">
        <v>27</v>
      </c>
      <c r="D872">
        <v>1.47</v>
      </c>
      <c r="E872">
        <v>72</v>
      </c>
      <c r="F872">
        <v>13.33</v>
      </c>
      <c r="G872">
        <v>87</v>
      </c>
      <c r="H872" s="1">
        <v>45009.375</v>
      </c>
      <c r="I872" s="1">
        <v>45009.425000000003</v>
      </c>
      <c r="J872" s="1">
        <v>45009.37222222222</v>
      </c>
      <c r="K872" s="1">
        <v>45009.422222222223</v>
      </c>
      <c r="L872" t="s">
        <v>16</v>
      </c>
      <c r="M872" t="s">
        <v>20</v>
      </c>
    </row>
    <row r="873" spans="1:13" x14ac:dyDescent="0.3">
      <c r="A873" t="s">
        <v>901</v>
      </c>
      <c r="B873" t="s">
        <v>40</v>
      </c>
      <c r="C873" t="s">
        <v>27</v>
      </c>
      <c r="D873">
        <v>3.74</v>
      </c>
      <c r="E873">
        <v>91</v>
      </c>
      <c r="F873">
        <v>5.32</v>
      </c>
      <c r="G873">
        <v>96</v>
      </c>
      <c r="H873" s="1">
        <v>45009.381944444445</v>
      </c>
      <c r="I873" s="1">
        <v>45009.445138888892</v>
      </c>
      <c r="J873" s="1">
        <v>45009.382638888892</v>
      </c>
      <c r="K873" s="1">
        <v>45009.445833333331</v>
      </c>
      <c r="L873" t="s">
        <v>16</v>
      </c>
      <c r="M873" t="s">
        <v>28</v>
      </c>
    </row>
    <row r="874" spans="1:13" x14ac:dyDescent="0.3">
      <c r="A874" t="s">
        <v>902</v>
      </c>
      <c r="B874" t="s">
        <v>30</v>
      </c>
      <c r="C874" t="s">
        <v>27</v>
      </c>
      <c r="D874">
        <v>1.97</v>
      </c>
      <c r="E874">
        <v>109</v>
      </c>
      <c r="F874">
        <v>8.73</v>
      </c>
      <c r="G874">
        <v>91</v>
      </c>
      <c r="H874" s="1">
        <v>45009.388888888891</v>
      </c>
      <c r="I874" s="1">
        <v>45009.464583333334</v>
      </c>
      <c r="J874" s="1">
        <v>45009.386111111111</v>
      </c>
      <c r="K874" s="1">
        <v>45009.461805555555</v>
      </c>
      <c r="L874" t="s">
        <v>16</v>
      </c>
      <c r="M874" t="s">
        <v>20</v>
      </c>
    </row>
    <row r="875" spans="1:13" x14ac:dyDescent="0.3">
      <c r="A875" t="s">
        <v>903</v>
      </c>
      <c r="B875" t="s">
        <v>40</v>
      </c>
      <c r="C875" t="s">
        <v>32</v>
      </c>
      <c r="D875">
        <v>3.84</v>
      </c>
      <c r="E875">
        <v>74</v>
      </c>
      <c r="F875">
        <v>9.06</v>
      </c>
      <c r="G875">
        <v>83</v>
      </c>
      <c r="H875" s="1">
        <v>45009.395833333336</v>
      </c>
      <c r="I875" s="1">
        <v>45009.447222222225</v>
      </c>
      <c r="J875" s="1">
        <v>45009.392361111109</v>
      </c>
      <c r="K875" s="1">
        <v>45009.443749999999</v>
      </c>
      <c r="L875" t="s">
        <v>16</v>
      </c>
      <c r="M875" t="s">
        <v>20</v>
      </c>
    </row>
    <row r="876" spans="1:13" x14ac:dyDescent="0.3">
      <c r="A876" t="s">
        <v>904</v>
      </c>
      <c r="B876" t="s">
        <v>40</v>
      </c>
      <c r="C876" t="s">
        <v>23</v>
      </c>
      <c r="D876">
        <v>2.2799999999999998</v>
      </c>
      <c r="E876">
        <v>85</v>
      </c>
      <c r="F876">
        <v>13.44</v>
      </c>
      <c r="G876">
        <v>93</v>
      </c>
      <c r="H876" s="1">
        <v>45009.402777777781</v>
      </c>
      <c r="I876" s="1">
        <v>45009.461805555555</v>
      </c>
      <c r="J876" s="1">
        <v>45009.399305555555</v>
      </c>
      <c r="K876" s="1">
        <v>45009.458333333336</v>
      </c>
      <c r="L876" t="s">
        <v>16</v>
      </c>
      <c r="M876" t="s">
        <v>20</v>
      </c>
    </row>
    <row r="877" spans="1:13" x14ac:dyDescent="0.3">
      <c r="A877" t="s">
        <v>905</v>
      </c>
      <c r="B877" t="s">
        <v>30</v>
      </c>
      <c r="C877" t="s">
        <v>32</v>
      </c>
      <c r="D877">
        <v>3.39</v>
      </c>
      <c r="E877">
        <v>55</v>
      </c>
      <c r="F877">
        <v>2.6</v>
      </c>
      <c r="G877">
        <v>81</v>
      </c>
      <c r="H877" s="1">
        <v>45009.409722222219</v>
      </c>
      <c r="I877" s="1">
        <v>45009.447916666664</v>
      </c>
      <c r="J877" s="1">
        <v>45009.418055555558</v>
      </c>
      <c r="K877" s="1">
        <v>45009.456250000003</v>
      </c>
      <c r="L877" t="s">
        <v>19</v>
      </c>
      <c r="M877" t="s">
        <v>20</v>
      </c>
    </row>
    <row r="878" spans="1:13" x14ac:dyDescent="0.3">
      <c r="A878" t="s">
        <v>906</v>
      </c>
      <c r="B878" t="s">
        <v>34</v>
      </c>
      <c r="C878" t="s">
        <v>32</v>
      </c>
      <c r="D878">
        <v>2.41</v>
      </c>
      <c r="E878">
        <v>23</v>
      </c>
      <c r="F878">
        <v>6.93</v>
      </c>
      <c r="G878">
        <v>99</v>
      </c>
      <c r="H878" s="1">
        <v>45009.416666666664</v>
      </c>
      <c r="I878" s="1">
        <v>45009.432638888888</v>
      </c>
      <c r="J878" s="1">
        <v>45009.436111111114</v>
      </c>
      <c r="K878" s="1">
        <v>45009.45208333333</v>
      </c>
      <c r="L878" t="s">
        <v>19</v>
      </c>
      <c r="M878" t="s">
        <v>20</v>
      </c>
    </row>
    <row r="879" spans="1:13" x14ac:dyDescent="0.3">
      <c r="A879" t="s">
        <v>907</v>
      </c>
      <c r="B879" t="s">
        <v>34</v>
      </c>
      <c r="C879" t="s">
        <v>32</v>
      </c>
      <c r="D879">
        <v>3.92</v>
      </c>
      <c r="E879">
        <v>116</v>
      </c>
      <c r="F879">
        <v>3.49</v>
      </c>
      <c r="G879">
        <v>88</v>
      </c>
      <c r="H879" s="1">
        <v>45009.423611111109</v>
      </c>
      <c r="I879" s="1">
        <v>45009.504166666666</v>
      </c>
      <c r="J879" s="1">
        <v>45009.423611111109</v>
      </c>
      <c r="K879" s="1">
        <v>45009.504166666666</v>
      </c>
      <c r="L879" t="s">
        <v>16</v>
      </c>
      <c r="M879" t="s">
        <v>28</v>
      </c>
    </row>
    <row r="880" spans="1:13" x14ac:dyDescent="0.3">
      <c r="A880" t="s">
        <v>908</v>
      </c>
      <c r="B880" t="s">
        <v>34</v>
      </c>
      <c r="C880" t="s">
        <v>23</v>
      </c>
      <c r="D880">
        <v>2.13</v>
      </c>
      <c r="E880">
        <v>52</v>
      </c>
      <c r="F880">
        <v>13.14</v>
      </c>
      <c r="G880">
        <v>81</v>
      </c>
      <c r="H880" s="1">
        <v>45009.430555555555</v>
      </c>
      <c r="I880" s="1">
        <v>45009.466666666667</v>
      </c>
      <c r="L880" t="s">
        <v>24</v>
      </c>
      <c r="M880" t="s">
        <v>20</v>
      </c>
    </row>
    <row r="881" spans="1:13" x14ac:dyDescent="0.3">
      <c r="A881" t="s">
        <v>909</v>
      </c>
      <c r="B881" t="s">
        <v>30</v>
      </c>
      <c r="C881" t="s">
        <v>15</v>
      </c>
      <c r="D881">
        <v>4.08</v>
      </c>
      <c r="E881">
        <v>64</v>
      </c>
      <c r="F881">
        <v>2.12</v>
      </c>
      <c r="G881">
        <v>98</v>
      </c>
      <c r="H881" s="1">
        <v>45009.4375</v>
      </c>
      <c r="I881" s="1">
        <v>45009.481944444444</v>
      </c>
      <c r="L881" t="s">
        <v>24</v>
      </c>
      <c r="M881" t="s">
        <v>20</v>
      </c>
    </row>
    <row r="882" spans="1:13" x14ac:dyDescent="0.3">
      <c r="A882" t="s">
        <v>910</v>
      </c>
      <c r="B882" t="s">
        <v>40</v>
      </c>
      <c r="C882" t="s">
        <v>15</v>
      </c>
      <c r="D882">
        <v>3.08</v>
      </c>
      <c r="E882">
        <v>105</v>
      </c>
      <c r="F882">
        <v>10.44</v>
      </c>
      <c r="G882">
        <v>98</v>
      </c>
      <c r="H882" s="1">
        <v>45009.444444444445</v>
      </c>
      <c r="I882" s="1">
        <v>45009.517361111109</v>
      </c>
      <c r="J882" s="1">
        <v>45009.446527777778</v>
      </c>
      <c r="K882" s="1">
        <v>45009.519444444442</v>
      </c>
      <c r="L882" t="s">
        <v>16</v>
      </c>
      <c r="M882" t="s">
        <v>17</v>
      </c>
    </row>
    <row r="883" spans="1:13" x14ac:dyDescent="0.3">
      <c r="A883" t="s">
        <v>911</v>
      </c>
      <c r="B883" t="s">
        <v>34</v>
      </c>
      <c r="C883" t="s">
        <v>27</v>
      </c>
      <c r="D883">
        <v>3.27</v>
      </c>
      <c r="E883">
        <v>60</v>
      </c>
      <c r="F883">
        <v>7.5</v>
      </c>
      <c r="G883">
        <v>90</v>
      </c>
      <c r="H883" s="1">
        <v>45009.451388888891</v>
      </c>
      <c r="I883" s="1">
        <v>45009.493055555555</v>
      </c>
      <c r="J883" s="1">
        <v>45009.449305555558</v>
      </c>
      <c r="K883" s="1">
        <v>45009.490972222222</v>
      </c>
      <c r="L883" t="s">
        <v>16</v>
      </c>
      <c r="M883" t="s">
        <v>20</v>
      </c>
    </row>
    <row r="884" spans="1:13" x14ac:dyDescent="0.3">
      <c r="A884" t="s">
        <v>912</v>
      </c>
      <c r="B884" t="s">
        <v>30</v>
      </c>
      <c r="C884" t="s">
        <v>32</v>
      </c>
      <c r="D884">
        <v>2.12</v>
      </c>
      <c r="E884">
        <v>43</v>
      </c>
      <c r="F884">
        <v>3.75</v>
      </c>
      <c r="G884">
        <v>84</v>
      </c>
      <c r="H884" s="1">
        <v>45009.458333333336</v>
      </c>
      <c r="I884" s="1">
        <v>45009.488194444442</v>
      </c>
      <c r="J884" s="1">
        <v>45009.461805555555</v>
      </c>
      <c r="K884" s="1">
        <v>45009.491666666669</v>
      </c>
      <c r="L884" t="s">
        <v>16</v>
      </c>
      <c r="M884" t="s">
        <v>28</v>
      </c>
    </row>
    <row r="885" spans="1:13" x14ac:dyDescent="0.3">
      <c r="A885" t="s">
        <v>913</v>
      </c>
      <c r="B885" t="s">
        <v>30</v>
      </c>
      <c r="C885" t="s">
        <v>15</v>
      </c>
      <c r="D885">
        <v>3.58</v>
      </c>
      <c r="E885">
        <v>32</v>
      </c>
      <c r="F885">
        <v>13.96</v>
      </c>
      <c r="G885">
        <v>82</v>
      </c>
      <c r="H885" s="1">
        <v>45009.465277777781</v>
      </c>
      <c r="I885" s="1">
        <v>45009.487500000003</v>
      </c>
      <c r="J885" s="1">
        <v>45009.463888888888</v>
      </c>
      <c r="K885" s="1">
        <v>45009.486111111109</v>
      </c>
      <c r="L885" t="s">
        <v>16</v>
      </c>
      <c r="M885" t="s">
        <v>20</v>
      </c>
    </row>
    <row r="886" spans="1:13" x14ac:dyDescent="0.3">
      <c r="A886" t="s">
        <v>914</v>
      </c>
      <c r="B886" t="s">
        <v>34</v>
      </c>
      <c r="C886" t="s">
        <v>36</v>
      </c>
      <c r="D886">
        <v>4.9800000000000004</v>
      </c>
      <c r="E886">
        <v>45</v>
      </c>
      <c r="F886">
        <v>8.68</v>
      </c>
      <c r="G886">
        <v>95</v>
      </c>
      <c r="H886" s="1">
        <v>45009.472222222219</v>
      </c>
      <c r="I886" s="1">
        <v>45009.503472222219</v>
      </c>
      <c r="J886" s="1">
        <v>45009.475694444445</v>
      </c>
      <c r="K886" s="1">
        <v>45009.506944444445</v>
      </c>
      <c r="L886" t="s">
        <v>16</v>
      </c>
      <c r="M886" t="s">
        <v>17</v>
      </c>
    </row>
    <row r="887" spans="1:13" x14ac:dyDescent="0.3">
      <c r="A887" t="s">
        <v>915</v>
      </c>
      <c r="B887" t="s">
        <v>22</v>
      </c>
      <c r="C887" t="s">
        <v>36</v>
      </c>
      <c r="D887">
        <v>3.75</v>
      </c>
      <c r="E887">
        <v>25</v>
      </c>
      <c r="F887">
        <v>9.4</v>
      </c>
      <c r="G887">
        <v>90</v>
      </c>
      <c r="H887" s="1">
        <v>45009.479166666664</v>
      </c>
      <c r="I887" s="1">
        <v>45009.496527777781</v>
      </c>
      <c r="J887" s="1">
        <v>45009.475694444445</v>
      </c>
      <c r="K887" s="1">
        <v>45009.493055555555</v>
      </c>
      <c r="L887" t="s">
        <v>16</v>
      </c>
      <c r="M887" t="s">
        <v>20</v>
      </c>
    </row>
    <row r="888" spans="1:13" x14ac:dyDescent="0.3">
      <c r="A888" t="s">
        <v>916</v>
      </c>
      <c r="B888" t="s">
        <v>22</v>
      </c>
      <c r="C888" t="s">
        <v>27</v>
      </c>
      <c r="D888">
        <v>1.69</v>
      </c>
      <c r="E888">
        <v>105</v>
      </c>
      <c r="F888">
        <v>11.47</v>
      </c>
      <c r="G888">
        <v>87</v>
      </c>
      <c r="H888" s="1">
        <v>45009.486111111109</v>
      </c>
      <c r="I888" s="1">
        <v>45009.559027777781</v>
      </c>
      <c r="J888" s="1">
        <v>45009.487500000003</v>
      </c>
      <c r="K888" s="1">
        <v>45009.560416666667</v>
      </c>
      <c r="L888" t="s">
        <v>16</v>
      </c>
      <c r="M888" t="s">
        <v>17</v>
      </c>
    </row>
    <row r="889" spans="1:13" x14ac:dyDescent="0.3">
      <c r="A889" t="s">
        <v>917</v>
      </c>
      <c r="B889" t="s">
        <v>30</v>
      </c>
      <c r="C889" t="s">
        <v>23</v>
      </c>
      <c r="D889">
        <v>4.87</v>
      </c>
      <c r="E889">
        <v>82</v>
      </c>
      <c r="F889">
        <v>4.26</v>
      </c>
      <c r="G889">
        <v>94</v>
      </c>
      <c r="H889" s="1">
        <v>45009.493055555555</v>
      </c>
      <c r="I889" s="1">
        <v>45009.55</v>
      </c>
      <c r="J889" s="1">
        <v>45009.500694444447</v>
      </c>
      <c r="K889" s="1">
        <v>45009.557638888888</v>
      </c>
      <c r="L889" t="s">
        <v>19</v>
      </c>
      <c r="M889" t="s">
        <v>20</v>
      </c>
    </row>
    <row r="890" spans="1:13" x14ac:dyDescent="0.3">
      <c r="A890" t="s">
        <v>918</v>
      </c>
      <c r="B890" t="s">
        <v>40</v>
      </c>
      <c r="C890" t="s">
        <v>32</v>
      </c>
      <c r="D890">
        <v>3.51</v>
      </c>
      <c r="E890">
        <v>78</v>
      </c>
      <c r="F890">
        <v>2.95</v>
      </c>
      <c r="G890">
        <v>87</v>
      </c>
      <c r="H890" s="1">
        <v>45009.5</v>
      </c>
      <c r="I890" s="1">
        <v>45009.554166666669</v>
      </c>
      <c r="L890" t="s">
        <v>24</v>
      </c>
      <c r="M890" t="s">
        <v>20</v>
      </c>
    </row>
    <row r="891" spans="1:13" x14ac:dyDescent="0.3">
      <c r="A891" t="s">
        <v>919</v>
      </c>
      <c r="B891" t="s">
        <v>14</v>
      </c>
      <c r="C891" t="s">
        <v>36</v>
      </c>
      <c r="D891">
        <v>2.5299999999999998</v>
      </c>
      <c r="E891">
        <v>30</v>
      </c>
      <c r="F891">
        <v>13.66</v>
      </c>
      <c r="G891">
        <v>92</v>
      </c>
      <c r="H891" s="1">
        <v>45009.506944444445</v>
      </c>
      <c r="I891" s="1">
        <v>45009.527777777781</v>
      </c>
      <c r="J891" s="1">
        <v>45009.506249999999</v>
      </c>
      <c r="K891" s="1">
        <v>45009.527083333334</v>
      </c>
      <c r="L891" t="s">
        <v>16</v>
      </c>
      <c r="M891" t="s">
        <v>20</v>
      </c>
    </row>
    <row r="892" spans="1:13" x14ac:dyDescent="0.3">
      <c r="A892" t="s">
        <v>920</v>
      </c>
      <c r="B892" t="s">
        <v>30</v>
      </c>
      <c r="C892" t="s">
        <v>32</v>
      </c>
      <c r="D892">
        <v>3.14</v>
      </c>
      <c r="E892">
        <v>104</v>
      </c>
      <c r="F892">
        <v>3.16</v>
      </c>
      <c r="G892">
        <v>92</v>
      </c>
      <c r="H892" s="1">
        <v>45009.513888888891</v>
      </c>
      <c r="I892" s="1">
        <v>45009.586111111108</v>
      </c>
      <c r="J892" s="1">
        <v>45009.510416666664</v>
      </c>
      <c r="K892" s="1">
        <v>45009.582638888889</v>
      </c>
      <c r="L892" t="s">
        <v>16</v>
      </c>
      <c r="M892" t="s">
        <v>20</v>
      </c>
    </row>
    <row r="893" spans="1:13" x14ac:dyDescent="0.3">
      <c r="A893" t="s">
        <v>921</v>
      </c>
      <c r="B893" t="s">
        <v>30</v>
      </c>
      <c r="C893" t="s">
        <v>36</v>
      </c>
      <c r="D893">
        <v>4.6500000000000004</v>
      </c>
      <c r="E893">
        <v>43</v>
      </c>
      <c r="F893">
        <v>14.03</v>
      </c>
      <c r="G893">
        <v>91</v>
      </c>
      <c r="H893" s="1">
        <v>45009.520833333336</v>
      </c>
      <c r="I893" s="1">
        <v>45009.550694444442</v>
      </c>
      <c r="J893" s="1">
        <v>45009.521527777775</v>
      </c>
      <c r="K893" s="1">
        <v>45009.551388888889</v>
      </c>
      <c r="L893" t="s">
        <v>16</v>
      </c>
      <c r="M893" t="s">
        <v>17</v>
      </c>
    </row>
    <row r="894" spans="1:13" x14ac:dyDescent="0.3">
      <c r="A894" t="s">
        <v>922</v>
      </c>
      <c r="B894" t="s">
        <v>22</v>
      </c>
      <c r="C894" t="s">
        <v>27</v>
      </c>
      <c r="D894">
        <v>3.22</v>
      </c>
      <c r="E894">
        <v>115</v>
      </c>
      <c r="F894">
        <v>12.2</v>
      </c>
      <c r="G894">
        <v>90</v>
      </c>
      <c r="H894" s="1">
        <v>45009.527777777781</v>
      </c>
      <c r="I894" s="1">
        <v>45009.607638888891</v>
      </c>
      <c r="J894" s="1">
        <v>45009.529861111114</v>
      </c>
      <c r="K894" s="1">
        <v>45009.609722222223</v>
      </c>
      <c r="L894" t="s">
        <v>16</v>
      </c>
      <c r="M894" t="s">
        <v>17</v>
      </c>
    </row>
    <row r="895" spans="1:13" x14ac:dyDescent="0.3">
      <c r="A895" t="s">
        <v>923</v>
      </c>
      <c r="B895" t="s">
        <v>14</v>
      </c>
      <c r="C895" t="s">
        <v>32</v>
      </c>
      <c r="D895">
        <v>1.58</v>
      </c>
      <c r="E895">
        <v>68</v>
      </c>
      <c r="F895">
        <v>12.26</v>
      </c>
      <c r="G895">
        <v>94</v>
      </c>
      <c r="H895" s="1">
        <v>45009.534722222219</v>
      </c>
      <c r="I895" s="1">
        <v>45009.581944444442</v>
      </c>
      <c r="J895" s="1">
        <v>45009.531944444447</v>
      </c>
      <c r="K895" s="1">
        <v>45009.57916666667</v>
      </c>
      <c r="L895" t="s">
        <v>16</v>
      </c>
      <c r="M895" t="s">
        <v>20</v>
      </c>
    </row>
    <row r="896" spans="1:13" x14ac:dyDescent="0.3">
      <c r="A896" t="s">
        <v>924</v>
      </c>
      <c r="B896" t="s">
        <v>34</v>
      </c>
      <c r="C896" t="s">
        <v>23</v>
      </c>
      <c r="D896">
        <v>1.32</v>
      </c>
      <c r="E896">
        <v>82</v>
      </c>
      <c r="F896">
        <v>6.89</v>
      </c>
      <c r="G896">
        <v>93</v>
      </c>
      <c r="H896" s="1">
        <v>45009.541666666664</v>
      </c>
      <c r="I896" s="1">
        <v>45009.598611111112</v>
      </c>
      <c r="J896" s="1">
        <v>45009.544444444444</v>
      </c>
      <c r="K896" s="1">
        <v>45009.601388888892</v>
      </c>
      <c r="L896" t="s">
        <v>16</v>
      </c>
      <c r="M896" t="s">
        <v>28</v>
      </c>
    </row>
    <row r="897" spans="1:13" x14ac:dyDescent="0.3">
      <c r="A897" t="s">
        <v>925</v>
      </c>
      <c r="B897" t="s">
        <v>22</v>
      </c>
      <c r="C897" t="s">
        <v>15</v>
      </c>
      <c r="D897">
        <v>1.24</v>
      </c>
      <c r="E897">
        <v>109</v>
      </c>
      <c r="F897">
        <v>2.0499999999999998</v>
      </c>
      <c r="G897">
        <v>97</v>
      </c>
      <c r="H897" s="1">
        <v>45009.548611111109</v>
      </c>
      <c r="I897" s="1">
        <v>45009.624305555553</v>
      </c>
      <c r="J897" s="1">
        <v>45009.550694444442</v>
      </c>
      <c r="K897" s="1">
        <v>45009.626388888886</v>
      </c>
      <c r="L897" t="s">
        <v>16</v>
      </c>
      <c r="M897" t="s">
        <v>28</v>
      </c>
    </row>
    <row r="898" spans="1:13" x14ac:dyDescent="0.3">
      <c r="A898" t="s">
        <v>926</v>
      </c>
      <c r="B898" t="s">
        <v>34</v>
      </c>
      <c r="C898" t="s">
        <v>15</v>
      </c>
      <c r="D898">
        <v>2.04</v>
      </c>
      <c r="E898">
        <v>60</v>
      </c>
      <c r="F898">
        <v>9.2899999999999991</v>
      </c>
      <c r="G898">
        <v>99</v>
      </c>
      <c r="H898" s="1">
        <v>45009.555555555555</v>
      </c>
      <c r="I898" s="1">
        <v>45009.597222222219</v>
      </c>
      <c r="J898" s="1">
        <v>45009.554166666669</v>
      </c>
      <c r="K898" s="1">
        <v>45009.595833333333</v>
      </c>
      <c r="L898" t="s">
        <v>16</v>
      </c>
      <c r="M898" t="s">
        <v>20</v>
      </c>
    </row>
    <row r="899" spans="1:13" x14ac:dyDescent="0.3">
      <c r="A899" t="s">
        <v>927</v>
      </c>
      <c r="B899" t="s">
        <v>34</v>
      </c>
      <c r="C899" t="s">
        <v>23</v>
      </c>
      <c r="D899">
        <v>4.7699999999999996</v>
      </c>
      <c r="E899">
        <v>20</v>
      </c>
      <c r="F899">
        <v>9.81</v>
      </c>
      <c r="G899">
        <v>86</v>
      </c>
      <c r="H899" s="1">
        <v>45009.5625</v>
      </c>
      <c r="I899" s="1">
        <v>45009.576388888891</v>
      </c>
      <c r="J899" s="1">
        <v>45009.57708333333</v>
      </c>
      <c r="K899" s="1">
        <v>45009.59097222222</v>
      </c>
      <c r="L899" t="s">
        <v>19</v>
      </c>
      <c r="M899" t="s">
        <v>20</v>
      </c>
    </row>
    <row r="900" spans="1:13" x14ac:dyDescent="0.3">
      <c r="A900" t="s">
        <v>928</v>
      </c>
      <c r="B900" t="s">
        <v>40</v>
      </c>
      <c r="C900" t="s">
        <v>27</v>
      </c>
      <c r="D900">
        <v>1.47</v>
      </c>
      <c r="E900">
        <v>75</v>
      </c>
      <c r="F900">
        <v>14.44</v>
      </c>
      <c r="G900">
        <v>80</v>
      </c>
      <c r="H900" s="1">
        <v>45009.569444444445</v>
      </c>
      <c r="I900" s="1">
        <v>45009.621527777781</v>
      </c>
      <c r="J900" s="1">
        <v>45009.572222222225</v>
      </c>
      <c r="K900" s="1">
        <v>45009.624305555553</v>
      </c>
      <c r="L900" t="s">
        <v>16</v>
      </c>
      <c r="M900" t="s">
        <v>17</v>
      </c>
    </row>
    <row r="901" spans="1:13" x14ac:dyDescent="0.3">
      <c r="A901" t="s">
        <v>929</v>
      </c>
      <c r="B901" t="s">
        <v>40</v>
      </c>
      <c r="C901" t="s">
        <v>27</v>
      </c>
      <c r="D901">
        <v>2.77</v>
      </c>
      <c r="E901">
        <v>59</v>
      </c>
      <c r="F901">
        <v>6.61</v>
      </c>
      <c r="G901">
        <v>93</v>
      </c>
      <c r="H901" s="1">
        <v>45009.576388888891</v>
      </c>
      <c r="I901" s="1">
        <v>45009.617361111108</v>
      </c>
      <c r="J901" s="1">
        <v>45009.577777777777</v>
      </c>
      <c r="K901" s="1">
        <v>45009.618750000001</v>
      </c>
      <c r="L901" t="s">
        <v>16</v>
      </c>
      <c r="M901" t="s">
        <v>28</v>
      </c>
    </row>
    <row r="902" spans="1:13" x14ac:dyDescent="0.3">
      <c r="A902" t="s">
        <v>930</v>
      </c>
      <c r="B902" t="s">
        <v>34</v>
      </c>
      <c r="C902" t="s">
        <v>36</v>
      </c>
      <c r="D902">
        <v>1.4</v>
      </c>
      <c r="E902">
        <v>94</v>
      </c>
      <c r="F902">
        <v>12.06</v>
      </c>
      <c r="G902">
        <v>89</v>
      </c>
      <c r="H902" s="1">
        <v>45009.583333333336</v>
      </c>
      <c r="I902" s="1">
        <v>45009.648611111108</v>
      </c>
      <c r="J902" s="1">
        <v>45009.594444444447</v>
      </c>
      <c r="K902" s="1">
        <v>45009.659722222219</v>
      </c>
      <c r="L902" t="s">
        <v>19</v>
      </c>
      <c r="M902" t="s">
        <v>20</v>
      </c>
    </row>
    <row r="903" spans="1:13" x14ac:dyDescent="0.3">
      <c r="A903" t="s">
        <v>931</v>
      </c>
      <c r="B903" t="s">
        <v>40</v>
      </c>
      <c r="C903" t="s">
        <v>27</v>
      </c>
      <c r="D903">
        <v>2.44</v>
      </c>
      <c r="E903">
        <v>103</v>
      </c>
      <c r="F903">
        <v>13.56</v>
      </c>
      <c r="G903">
        <v>95</v>
      </c>
      <c r="H903" s="1">
        <v>45009.590277777781</v>
      </c>
      <c r="I903" s="1">
        <v>45009.661805555559</v>
      </c>
      <c r="J903" s="1">
        <v>45009.592361111114</v>
      </c>
      <c r="K903" s="1">
        <v>45009.663888888892</v>
      </c>
      <c r="L903" t="s">
        <v>16</v>
      </c>
      <c r="M903" t="s">
        <v>17</v>
      </c>
    </row>
    <row r="904" spans="1:13" x14ac:dyDescent="0.3">
      <c r="A904" t="s">
        <v>932</v>
      </c>
      <c r="B904" t="s">
        <v>40</v>
      </c>
      <c r="C904" t="s">
        <v>15</v>
      </c>
      <c r="D904">
        <v>4.04</v>
      </c>
      <c r="E904">
        <v>95</v>
      </c>
      <c r="F904">
        <v>14.48</v>
      </c>
      <c r="G904">
        <v>97</v>
      </c>
      <c r="H904" s="1">
        <v>45009.597222222219</v>
      </c>
      <c r="I904" s="1">
        <v>45009.663194444445</v>
      </c>
      <c r="J904" s="1">
        <v>45009.595138888886</v>
      </c>
      <c r="K904" s="1">
        <v>45009.661111111112</v>
      </c>
      <c r="L904" t="s">
        <v>16</v>
      </c>
      <c r="M904" t="s">
        <v>20</v>
      </c>
    </row>
    <row r="905" spans="1:13" x14ac:dyDescent="0.3">
      <c r="A905" t="s">
        <v>933</v>
      </c>
      <c r="B905" t="s">
        <v>34</v>
      </c>
      <c r="C905" t="s">
        <v>36</v>
      </c>
      <c r="D905">
        <v>1.1200000000000001</v>
      </c>
      <c r="E905">
        <v>65</v>
      </c>
      <c r="F905">
        <v>12.46</v>
      </c>
      <c r="G905">
        <v>85</v>
      </c>
      <c r="H905" s="1">
        <v>45009.604166666664</v>
      </c>
      <c r="I905" s="1">
        <v>45009.649305555555</v>
      </c>
      <c r="L905" t="s">
        <v>24</v>
      </c>
      <c r="M905" t="s">
        <v>20</v>
      </c>
    </row>
    <row r="906" spans="1:13" x14ac:dyDescent="0.3">
      <c r="A906" t="s">
        <v>934</v>
      </c>
      <c r="B906" t="s">
        <v>40</v>
      </c>
      <c r="C906" t="s">
        <v>27</v>
      </c>
      <c r="D906">
        <v>2.79</v>
      </c>
      <c r="E906">
        <v>48</v>
      </c>
      <c r="F906">
        <v>7.14</v>
      </c>
      <c r="G906">
        <v>91</v>
      </c>
      <c r="H906" s="1">
        <v>45009.611111111109</v>
      </c>
      <c r="I906" s="1">
        <v>45009.644444444442</v>
      </c>
      <c r="J906" s="1">
        <v>45009.612500000003</v>
      </c>
      <c r="K906" s="1">
        <v>45009.645833333336</v>
      </c>
      <c r="L906" t="s">
        <v>16</v>
      </c>
      <c r="M906" t="s">
        <v>28</v>
      </c>
    </row>
    <row r="907" spans="1:13" x14ac:dyDescent="0.3">
      <c r="A907" t="s">
        <v>935</v>
      </c>
      <c r="B907" t="s">
        <v>14</v>
      </c>
      <c r="C907" t="s">
        <v>23</v>
      </c>
      <c r="D907">
        <v>4.2699999999999996</v>
      </c>
      <c r="E907">
        <v>60</v>
      </c>
      <c r="F907">
        <v>3.92</v>
      </c>
      <c r="G907">
        <v>94</v>
      </c>
      <c r="H907" s="1">
        <v>45009.618055555555</v>
      </c>
      <c r="I907" s="1">
        <v>45009.659722222219</v>
      </c>
      <c r="J907" s="1">
        <v>45009.631249999999</v>
      </c>
      <c r="K907" s="1">
        <v>45009.67291666667</v>
      </c>
      <c r="L907" t="s">
        <v>19</v>
      </c>
      <c r="M907" t="s">
        <v>20</v>
      </c>
    </row>
    <row r="908" spans="1:13" x14ac:dyDescent="0.3">
      <c r="A908" t="s">
        <v>936</v>
      </c>
      <c r="B908" t="s">
        <v>30</v>
      </c>
      <c r="C908" t="s">
        <v>36</v>
      </c>
      <c r="D908">
        <v>1.98</v>
      </c>
      <c r="E908">
        <v>90</v>
      </c>
      <c r="F908">
        <v>14.41</v>
      </c>
      <c r="G908">
        <v>98</v>
      </c>
      <c r="H908" s="1">
        <v>45009.625</v>
      </c>
      <c r="I908" s="1">
        <v>45009.6875</v>
      </c>
      <c r="J908" s="1">
        <v>45009.633333333331</v>
      </c>
      <c r="K908" s="1">
        <v>45009.695833333331</v>
      </c>
      <c r="L908" t="s">
        <v>19</v>
      </c>
      <c r="M908" t="s">
        <v>20</v>
      </c>
    </row>
    <row r="909" spans="1:13" x14ac:dyDescent="0.3">
      <c r="A909" t="s">
        <v>937</v>
      </c>
      <c r="B909" t="s">
        <v>30</v>
      </c>
      <c r="C909" t="s">
        <v>32</v>
      </c>
      <c r="D909">
        <v>3.41</v>
      </c>
      <c r="E909">
        <v>106</v>
      </c>
      <c r="F909">
        <v>14.25</v>
      </c>
      <c r="G909">
        <v>85</v>
      </c>
      <c r="H909" s="1">
        <v>45009.631944444445</v>
      </c>
      <c r="I909" s="1">
        <v>45009.705555555556</v>
      </c>
      <c r="J909" s="1">
        <v>45009.631944444445</v>
      </c>
      <c r="K909" s="1">
        <v>45009.705555555556</v>
      </c>
      <c r="L909" t="s">
        <v>16</v>
      </c>
      <c r="M909" t="s">
        <v>17</v>
      </c>
    </row>
    <row r="910" spans="1:13" x14ac:dyDescent="0.3">
      <c r="A910" t="s">
        <v>938</v>
      </c>
      <c r="B910" t="s">
        <v>22</v>
      </c>
      <c r="C910" t="s">
        <v>23</v>
      </c>
      <c r="D910">
        <v>4.29</v>
      </c>
      <c r="E910">
        <v>116</v>
      </c>
      <c r="F910">
        <v>13.6</v>
      </c>
      <c r="G910">
        <v>87</v>
      </c>
      <c r="H910" s="1">
        <v>45009.638888888891</v>
      </c>
      <c r="I910" s="1">
        <v>45009.719444444447</v>
      </c>
      <c r="J910" s="1">
        <v>45009.64166666667</v>
      </c>
      <c r="K910" s="1">
        <v>45009.722222222219</v>
      </c>
      <c r="L910" t="s">
        <v>16</v>
      </c>
      <c r="M910" t="s">
        <v>17</v>
      </c>
    </row>
    <row r="911" spans="1:13" x14ac:dyDescent="0.3">
      <c r="A911" t="s">
        <v>939</v>
      </c>
      <c r="B911" t="s">
        <v>30</v>
      </c>
      <c r="C911" t="s">
        <v>23</v>
      </c>
      <c r="D911">
        <v>4.83</v>
      </c>
      <c r="E911">
        <v>38</v>
      </c>
      <c r="F911">
        <v>12.13</v>
      </c>
      <c r="G911">
        <v>85</v>
      </c>
      <c r="H911" s="1">
        <v>45009.645833333336</v>
      </c>
      <c r="I911" s="1">
        <v>45009.672222222223</v>
      </c>
      <c r="J911" s="1">
        <v>45009.644444444442</v>
      </c>
      <c r="K911" s="1">
        <v>45009.67083333333</v>
      </c>
      <c r="L911" t="s">
        <v>16</v>
      </c>
      <c r="M911" t="s">
        <v>20</v>
      </c>
    </row>
    <row r="912" spans="1:13" x14ac:dyDescent="0.3">
      <c r="A912" t="s">
        <v>940</v>
      </c>
      <c r="B912" t="s">
        <v>40</v>
      </c>
      <c r="C912" t="s">
        <v>15</v>
      </c>
      <c r="D912">
        <v>2.5499999999999998</v>
      </c>
      <c r="E912">
        <v>112</v>
      </c>
      <c r="F912">
        <v>4.12</v>
      </c>
      <c r="G912">
        <v>87</v>
      </c>
      <c r="H912" s="1">
        <v>45009.652777777781</v>
      </c>
      <c r="I912" s="1">
        <v>45009.730555555558</v>
      </c>
      <c r="J912" s="1">
        <v>45009.652083333334</v>
      </c>
      <c r="K912" s="1">
        <v>45009.729861111111</v>
      </c>
      <c r="L912" t="s">
        <v>16</v>
      </c>
      <c r="M912" t="s">
        <v>20</v>
      </c>
    </row>
    <row r="913" spans="1:13" x14ac:dyDescent="0.3">
      <c r="A913" t="s">
        <v>941</v>
      </c>
      <c r="B913" t="s">
        <v>22</v>
      </c>
      <c r="C913" t="s">
        <v>32</v>
      </c>
      <c r="D913">
        <v>3.6</v>
      </c>
      <c r="E913">
        <v>72</v>
      </c>
      <c r="F913">
        <v>13.88</v>
      </c>
      <c r="G913">
        <v>91</v>
      </c>
      <c r="H913" s="1">
        <v>45009.659722222219</v>
      </c>
      <c r="I913" s="1">
        <v>45009.709722222222</v>
      </c>
      <c r="L913" t="s">
        <v>24</v>
      </c>
      <c r="M913" t="s">
        <v>20</v>
      </c>
    </row>
    <row r="914" spans="1:13" x14ac:dyDescent="0.3">
      <c r="A914" t="s">
        <v>942</v>
      </c>
      <c r="B914" t="s">
        <v>34</v>
      </c>
      <c r="C914" t="s">
        <v>23</v>
      </c>
      <c r="D914">
        <v>2.37</v>
      </c>
      <c r="E914">
        <v>31</v>
      </c>
      <c r="F914">
        <v>12.76</v>
      </c>
      <c r="G914">
        <v>91</v>
      </c>
      <c r="H914" s="1">
        <v>45009.666666666664</v>
      </c>
      <c r="I914" s="1">
        <v>45009.688194444447</v>
      </c>
      <c r="J914" s="1">
        <v>45009.663888888892</v>
      </c>
      <c r="K914" s="1">
        <v>45009.685416666667</v>
      </c>
      <c r="L914" t="s">
        <v>16</v>
      </c>
      <c r="M914" t="s">
        <v>20</v>
      </c>
    </row>
    <row r="915" spans="1:13" x14ac:dyDescent="0.3">
      <c r="A915" t="s">
        <v>943</v>
      </c>
      <c r="B915" t="s">
        <v>40</v>
      </c>
      <c r="C915" t="s">
        <v>27</v>
      </c>
      <c r="D915">
        <v>1.17</v>
      </c>
      <c r="E915">
        <v>72</v>
      </c>
      <c r="F915">
        <v>9.64</v>
      </c>
      <c r="G915">
        <v>92</v>
      </c>
      <c r="H915" s="1">
        <v>45009.673611111109</v>
      </c>
      <c r="I915" s="1">
        <v>45009.723611111112</v>
      </c>
      <c r="J915" s="1">
        <v>45009.672222222223</v>
      </c>
      <c r="K915" s="1">
        <v>45009.722222222219</v>
      </c>
      <c r="L915" t="s">
        <v>16</v>
      </c>
      <c r="M915" t="s">
        <v>20</v>
      </c>
    </row>
    <row r="916" spans="1:13" x14ac:dyDescent="0.3">
      <c r="A916" t="s">
        <v>944</v>
      </c>
      <c r="B916" t="s">
        <v>30</v>
      </c>
      <c r="C916" t="s">
        <v>23</v>
      </c>
      <c r="D916">
        <v>4.4000000000000004</v>
      </c>
      <c r="E916">
        <v>83</v>
      </c>
      <c r="F916">
        <v>12.24</v>
      </c>
      <c r="G916">
        <v>98</v>
      </c>
      <c r="H916" s="1">
        <v>45009.680555555555</v>
      </c>
      <c r="I916" s="1">
        <v>45009.738194444442</v>
      </c>
      <c r="J916" s="1">
        <v>45009.697916666664</v>
      </c>
      <c r="K916" s="1">
        <v>45009.755555555559</v>
      </c>
      <c r="L916" t="s">
        <v>19</v>
      </c>
      <c r="M916" t="s">
        <v>20</v>
      </c>
    </row>
    <row r="917" spans="1:13" x14ac:dyDescent="0.3">
      <c r="A917" t="s">
        <v>945</v>
      </c>
      <c r="B917" t="s">
        <v>14</v>
      </c>
      <c r="C917" t="s">
        <v>36</v>
      </c>
      <c r="D917">
        <v>4.75</v>
      </c>
      <c r="E917">
        <v>31</v>
      </c>
      <c r="F917">
        <v>8.94</v>
      </c>
      <c r="G917">
        <v>98</v>
      </c>
      <c r="H917" s="1">
        <v>45009.6875</v>
      </c>
      <c r="I917" s="1">
        <v>45009.709027777775</v>
      </c>
      <c r="J917" s="1">
        <v>45009.688888888886</v>
      </c>
      <c r="K917" s="1">
        <v>45009.710416666669</v>
      </c>
      <c r="L917" t="s">
        <v>16</v>
      </c>
      <c r="M917" t="s">
        <v>17</v>
      </c>
    </row>
    <row r="918" spans="1:13" x14ac:dyDescent="0.3">
      <c r="A918" t="s">
        <v>946</v>
      </c>
      <c r="B918" t="s">
        <v>22</v>
      </c>
      <c r="C918" t="s">
        <v>15</v>
      </c>
      <c r="D918">
        <v>2.11</v>
      </c>
      <c r="E918">
        <v>40</v>
      </c>
      <c r="F918">
        <v>6.24</v>
      </c>
      <c r="G918">
        <v>92</v>
      </c>
      <c r="H918" s="1">
        <v>45009.694444444445</v>
      </c>
      <c r="I918" s="1">
        <v>45009.722222222219</v>
      </c>
      <c r="J918" s="1">
        <v>45009.690972222219</v>
      </c>
      <c r="K918" s="1">
        <v>45009.71875</v>
      </c>
      <c r="L918" t="s">
        <v>16</v>
      </c>
      <c r="M918" t="s">
        <v>20</v>
      </c>
    </row>
    <row r="919" spans="1:13" x14ac:dyDescent="0.3">
      <c r="A919" t="s">
        <v>947</v>
      </c>
      <c r="B919" t="s">
        <v>22</v>
      </c>
      <c r="C919" t="s">
        <v>15</v>
      </c>
      <c r="D919">
        <v>2</v>
      </c>
      <c r="E919">
        <v>116</v>
      </c>
      <c r="F919">
        <v>12.06</v>
      </c>
      <c r="G919">
        <v>84</v>
      </c>
      <c r="H919" s="1">
        <v>45009.701388888891</v>
      </c>
      <c r="I919" s="1">
        <v>45009.781944444447</v>
      </c>
      <c r="L919" t="s">
        <v>24</v>
      </c>
      <c r="M919" t="s">
        <v>20</v>
      </c>
    </row>
    <row r="920" spans="1:13" x14ac:dyDescent="0.3">
      <c r="A920" t="s">
        <v>948</v>
      </c>
      <c r="B920" t="s">
        <v>34</v>
      </c>
      <c r="C920" t="s">
        <v>15</v>
      </c>
      <c r="D920">
        <v>1.71</v>
      </c>
      <c r="E920">
        <v>48</v>
      </c>
      <c r="F920">
        <v>11.56</v>
      </c>
      <c r="G920">
        <v>83</v>
      </c>
      <c r="H920" s="1">
        <v>45009.708333333336</v>
      </c>
      <c r="I920" s="1">
        <v>45009.741666666669</v>
      </c>
      <c r="J920" s="1">
        <v>45009.711805555555</v>
      </c>
      <c r="K920" s="1">
        <v>45009.745138888888</v>
      </c>
      <c r="L920" t="s">
        <v>16</v>
      </c>
      <c r="M920" t="s">
        <v>17</v>
      </c>
    </row>
    <row r="921" spans="1:13" x14ac:dyDescent="0.3">
      <c r="A921" t="s">
        <v>949</v>
      </c>
      <c r="B921" t="s">
        <v>22</v>
      </c>
      <c r="C921" t="s">
        <v>23</v>
      </c>
      <c r="D921">
        <v>4.26</v>
      </c>
      <c r="E921">
        <v>43</v>
      </c>
      <c r="F921">
        <v>9.59</v>
      </c>
      <c r="G921">
        <v>81</v>
      </c>
      <c r="H921" s="1">
        <v>45009.715277777781</v>
      </c>
      <c r="I921" s="1">
        <v>45009.745138888888</v>
      </c>
      <c r="J921" s="1">
        <v>45009.718055555553</v>
      </c>
      <c r="K921" s="1">
        <v>45009.747916666667</v>
      </c>
      <c r="L921" t="s">
        <v>16</v>
      </c>
      <c r="M921" t="s">
        <v>17</v>
      </c>
    </row>
    <row r="922" spans="1:13" x14ac:dyDescent="0.3">
      <c r="A922" t="s">
        <v>950</v>
      </c>
      <c r="B922" t="s">
        <v>14</v>
      </c>
      <c r="C922" t="s">
        <v>15</v>
      </c>
      <c r="D922">
        <v>2.73</v>
      </c>
      <c r="E922">
        <v>90</v>
      </c>
      <c r="F922">
        <v>7.46</v>
      </c>
      <c r="G922">
        <v>85</v>
      </c>
      <c r="H922" s="1">
        <v>45009.722222222219</v>
      </c>
      <c r="I922" s="1">
        <v>45009.784722222219</v>
      </c>
      <c r="J922" s="1">
        <v>45009.722222222219</v>
      </c>
      <c r="K922" s="1">
        <v>45009.784722222219</v>
      </c>
      <c r="L922" t="s">
        <v>16</v>
      </c>
      <c r="M922" t="s">
        <v>28</v>
      </c>
    </row>
    <row r="923" spans="1:13" x14ac:dyDescent="0.3">
      <c r="A923" t="s">
        <v>951</v>
      </c>
      <c r="B923" t="s">
        <v>30</v>
      </c>
      <c r="C923" t="s">
        <v>36</v>
      </c>
      <c r="D923">
        <v>1.62</v>
      </c>
      <c r="E923">
        <v>46</v>
      </c>
      <c r="F923">
        <v>4.17</v>
      </c>
      <c r="G923">
        <v>97</v>
      </c>
      <c r="H923" s="1">
        <v>45009.729166666664</v>
      </c>
      <c r="I923" s="1">
        <v>45009.761111111111</v>
      </c>
      <c r="J923" s="1">
        <v>45009.729166666664</v>
      </c>
      <c r="K923" s="1">
        <v>45009.761111111111</v>
      </c>
      <c r="L923" t="s">
        <v>16</v>
      </c>
      <c r="M923" t="s">
        <v>28</v>
      </c>
    </row>
    <row r="924" spans="1:13" x14ac:dyDescent="0.3">
      <c r="A924" t="s">
        <v>952</v>
      </c>
      <c r="B924" t="s">
        <v>30</v>
      </c>
      <c r="C924" t="s">
        <v>32</v>
      </c>
      <c r="D924">
        <v>4.8499999999999996</v>
      </c>
      <c r="E924">
        <v>91</v>
      </c>
      <c r="F924">
        <v>14.43</v>
      </c>
      <c r="G924">
        <v>80</v>
      </c>
      <c r="H924" s="1">
        <v>45009.736111111109</v>
      </c>
      <c r="I924" s="1">
        <v>45009.799305555556</v>
      </c>
      <c r="J924" s="1">
        <v>45009.732638888891</v>
      </c>
      <c r="K924" s="1">
        <v>45009.79583333333</v>
      </c>
      <c r="L924" t="s">
        <v>16</v>
      </c>
      <c r="M924" t="s">
        <v>20</v>
      </c>
    </row>
    <row r="925" spans="1:13" x14ac:dyDescent="0.3">
      <c r="A925" t="s">
        <v>953</v>
      </c>
      <c r="B925" t="s">
        <v>22</v>
      </c>
      <c r="C925" t="s">
        <v>36</v>
      </c>
      <c r="D925">
        <v>4.24</v>
      </c>
      <c r="E925">
        <v>84</v>
      </c>
      <c r="F925">
        <v>3.01</v>
      </c>
      <c r="G925">
        <v>99</v>
      </c>
      <c r="H925" s="1">
        <v>45009.743055555555</v>
      </c>
      <c r="I925" s="1">
        <v>45009.801388888889</v>
      </c>
      <c r="J925" s="1">
        <v>45009.751388888886</v>
      </c>
      <c r="K925" s="1">
        <v>45009.80972222222</v>
      </c>
      <c r="L925" t="s">
        <v>19</v>
      </c>
      <c r="M925" t="s">
        <v>20</v>
      </c>
    </row>
    <row r="926" spans="1:13" x14ac:dyDescent="0.3">
      <c r="A926" t="s">
        <v>954</v>
      </c>
      <c r="B926" t="s">
        <v>30</v>
      </c>
      <c r="C926" t="s">
        <v>23</v>
      </c>
      <c r="D926">
        <v>3.4</v>
      </c>
      <c r="E926">
        <v>30</v>
      </c>
      <c r="F926">
        <v>5.58</v>
      </c>
      <c r="G926">
        <v>86</v>
      </c>
      <c r="H926" s="1">
        <v>45009.75</v>
      </c>
      <c r="I926" s="1">
        <v>45009.770833333336</v>
      </c>
      <c r="J926" s="1">
        <v>45009.746527777781</v>
      </c>
      <c r="K926" s="1">
        <v>45009.767361111109</v>
      </c>
      <c r="L926" t="s">
        <v>16</v>
      </c>
      <c r="M926" t="s">
        <v>20</v>
      </c>
    </row>
    <row r="927" spans="1:13" x14ac:dyDescent="0.3">
      <c r="A927" t="s">
        <v>955</v>
      </c>
      <c r="B927" t="s">
        <v>34</v>
      </c>
      <c r="C927" t="s">
        <v>15</v>
      </c>
      <c r="D927">
        <v>3.91</v>
      </c>
      <c r="E927">
        <v>115</v>
      </c>
      <c r="F927">
        <v>4.62</v>
      </c>
      <c r="G927">
        <v>95</v>
      </c>
      <c r="H927" s="1">
        <v>45009.756944444445</v>
      </c>
      <c r="I927" s="1">
        <v>45009.836805555555</v>
      </c>
      <c r="J927" s="1">
        <v>45009.753472222219</v>
      </c>
      <c r="K927" s="1">
        <v>45009.833333333336</v>
      </c>
      <c r="L927" t="s">
        <v>16</v>
      </c>
      <c r="M927" t="s">
        <v>20</v>
      </c>
    </row>
    <row r="928" spans="1:13" x14ac:dyDescent="0.3">
      <c r="A928" t="s">
        <v>956</v>
      </c>
      <c r="B928" t="s">
        <v>14</v>
      </c>
      <c r="C928" t="s">
        <v>36</v>
      </c>
      <c r="D928">
        <v>1.4</v>
      </c>
      <c r="E928">
        <v>60</v>
      </c>
      <c r="F928">
        <v>6.27</v>
      </c>
      <c r="G928">
        <v>90</v>
      </c>
      <c r="H928" s="1">
        <v>45009.763888888891</v>
      </c>
      <c r="I928" s="1">
        <v>45009.805555555555</v>
      </c>
      <c r="J928" s="1">
        <v>45009.767361111109</v>
      </c>
      <c r="K928" s="1">
        <v>45009.809027777781</v>
      </c>
      <c r="L928" t="s">
        <v>16</v>
      </c>
      <c r="M928" t="s">
        <v>28</v>
      </c>
    </row>
    <row r="929" spans="1:13" x14ac:dyDescent="0.3">
      <c r="A929" t="s">
        <v>957</v>
      </c>
      <c r="B929" t="s">
        <v>30</v>
      </c>
      <c r="C929" t="s">
        <v>23</v>
      </c>
      <c r="D929">
        <v>4.46</v>
      </c>
      <c r="E929">
        <v>100</v>
      </c>
      <c r="F929">
        <v>7.59</v>
      </c>
      <c r="G929">
        <v>88</v>
      </c>
      <c r="H929" s="1">
        <v>45009.770833333336</v>
      </c>
      <c r="I929" s="1">
        <v>45009.840277777781</v>
      </c>
      <c r="J929" s="1">
        <v>45009.768750000003</v>
      </c>
      <c r="K929" s="1">
        <v>45009.838194444441</v>
      </c>
      <c r="L929" t="s">
        <v>16</v>
      </c>
      <c r="M929" t="s">
        <v>20</v>
      </c>
    </row>
    <row r="930" spans="1:13" x14ac:dyDescent="0.3">
      <c r="A930" t="s">
        <v>958</v>
      </c>
      <c r="B930" t="s">
        <v>14</v>
      </c>
      <c r="C930" t="s">
        <v>27</v>
      </c>
      <c r="D930">
        <v>1.19</v>
      </c>
      <c r="E930">
        <v>95</v>
      </c>
      <c r="F930">
        <v>7.99</v>
      </c>
      <c r="G930">
        <v>81</v>
      </c>
      <c r="H930" s="1">
        <v>45009.777777777781</v>
      </c>
      <c r="I930" s="1">
        <v>45009.84375</v>
      </c>
      <c r="L930" t="s">
        <v>24</v>
      </c>
      <c r="M930" t="s">
        <v>20</v>
      </c>
    </row>
    <row r="931" spans="1:13" x14ac:dyDescent="0.3">
      <c r="A931" t="s">
        <v>959</v>
      </c>
      <c r="B931" t="s">
        <v>40</v>
      </c>
      <c r="C931" t="s">
        <v>27</v>
      </c>
      <c r="D931">
        <v>3.12</v>
      </c>
      <c r="E931">
        <v>101</v>
      </c>
      <c r="F931">
        <v>9.44</v>
      </c>
      <c r="G931">
        <v>85</v>
      </c>
      <c r="H931" s="1">
        <v>45009.784722222219</v>
      </c>
      <c r="I931" s="1">
        <v>45009.854861111111</v>
      </c>
      <c r="J931" s="1">
        <v>45009.78402777778</v>
      </c>
      <c r="K931" s="1">
        <v>45009.854166666664</v>
      </c>
      <c r="L931" t="s">
        <v>16</v>
      </c>
      <c r="M931" t="s">
        <v>20</v>
      </c>
    </row>
    <row r="932" spans="1:13" x14ac:dyDescent="0.3">
      <c r="A932" t="s">
        <v>960</v>
      </c>
      <c r="B932" t="s">
        <v>40</v>
      </c>
      <c r="C932" t="s">
        <v>27</v>
      </c>
      <c r="D932">
        <v>1.1200000000000001</v>
      </c>
      <c r="E932">
        <v>55</v>
      </c>
      <c r="F932">
        <v>5.05</v>
      </c>
      <c r="G932">
        <v>91</v>
      </c>
      <c r="H932" s="1">
        <v>45009.791666666664</v>
      </c>
      <c r="I932" s="1">
        <v>45009.829861111109</v>
      </c>
      <c r="J932" s="1">
        <v>45009.788888888892</v>
      </c>
      <c r="K932" s="1">
        <v>45009.82708333333</v>
      </c>
      <c r="L932" t="s">
        <v>16</v>
      </c>
      <c r="M932" t="s">
        <v>20</v>
      </c>
    </row>
    <row r="933" spans="1:13" x14ac:dyDescent="0.3">
      <c r="A933" t="s">
        <v>961</v>
      </c>
      <c r="B933" t="s">
        <v>14</v>
      </c>
      <c r="C933" t="s">
        <v>27</v>
      </c>
      <c r="D933">
        <v>3.5</v>
      </c>
      <c r="E933">
        <v>41</v>
      </c>
      <c r="F933">
        <v>8.5299999999999994</v>
      </c>
      <c r="G933">
        <v>94</v>
      </c>
      <c r="H933" s="1">
        <v>45009.798611111109</v>
      </c>
      <c r="I933" s="1">
        <v>45009.82708333333</v>
      </c>
      <c r="L933" t="s">
        <v>24</v>
      </c>
      <c r="M933" t="s">
        <v>20</v>
      </c>
    </row>
    <row r="934" spans="1:13" x14ac:dyDescent="0.3">
      <c r="A934" t="s">
        <v>962</v>
      </c>
      <c r="B934" t="s">
        <v>30</v>
      </c>
      <c r="C934" t="s">
        <v>27</v>
      </c>
      <c r="D934">
        <v>4.01</v>
      </c>
      <c r="E934">
        <v>49</v>
      </c>
      <c r="F934">
        <v>4.2300000000000004</v>
      </c>
      <c r="G934">
        <v>96</v>
      </c>
      <c r="H934" s="1">
        <v>45009.805555555555</v>
      </c>
      <c r="I934" s="1">
        <v>45009.839583333334</v>
      </c>
      <c r="J934" s="1">
        <v>45009.804861111108</v>
      </c>
      <c r="K934" s="1">
        <v>45009.838888888888</v>
      </c>
      <c r="L934" t="s">
        <v>16</v>
      </c>
      <c r="M934" t="s">
        <v>20</v>
      </c>
    </row>
    <row r="935" spans="1:13" x14ac:dyDescent="0.3">
      <c r="A935" t="s">
        <v>963</v>
      </c>
      <c r="B935" t="s">
        <v>34</v>
      </c>
      <c r="C935" t="s">
        <v>36</v>
      </c>
      <c r="D935">
        <v>1.1200000000000001</v>
      </c>
      <c r="E935">
        <v>88</v>
      </c>
      <c r="F935">
        <v>11.95</v>
      </c>
      <c r="G935">
        <v>98</v>
      </c>
      <c r="H935" s="1">
        <v>45009.8125</v>
      </c>
      <c r="I935" s="1">
        <v>45009.873611111114</v>
      </c>
      <c r="J935" s="1">
        <v>45009.811111111114</v>
      </c>
      <c r="K935" s="1">
        <v>45009.87222222222</v>
      </c>
      <c r="L935" t="s">
        <v>16</v>
      </c>
      <c r="M935" t="s">
        <v>20</v>
      </c>
    </row>
    <row r="936" spans="1:13" x14ac:dyDescent="0.3">
      <c r="A936" t="s">
        <v>964</v>
      </c>
      <c r="B936" t="s">
        <v>30</v>
      </c>
      <c r="C936" t="s">
        <v>36</v>
      </c>
      <c r="D936">
        <v>3.28</v>
      </c>
      <c r="E936">
        <v>81</v>
      </c>
      <c r="F936">
        <v>5.14</v>
      </c>
      <c r="G936">
        <v>99</v>
      </c>
      <c r="H936" s="1">
        <v>45009.819444444445</v>
      </c>
      <c r="I936" s="1">
        <v>45009.875694444447</v>
      </c>
      <c r="J936" s="1">
        <v>45009.822222222225</v>
      </c>
      <c r="K936" s="1">
        <v>45009.878472222219</v>
      </c>
      <c r="L936" t="s">
        <v>16</v>
      </c>
      <c r="M936" t="s">
        <v>28</v>
      </c>
    </row>
    <row r="937" spans="1:13" x14ac:dyDescent="0.3">
      <c r="A937" t="s">
        <v>965</v>
      </c>
      <c r="B937" t="s">
        <v>34</v>
      </c>
      <c r="C937" t="s">
        <v>36</v>
      </c>
      <c r="D937">
        <v>2.67</v>
      </c>
      <c r="E937">
        <v>22</v>
      </c>
      <c r="F937">
        <v>13.15</v>
      </c>
      <c r="G937">
        <v>83</v>
      </c>
      <c r="H937" s="1">
        <v>45009.826388888891</v>
      </c>
      <c r="I937" s="1">
        <v>45009.841666666667</v>
      </c>
      <c r="J937" s="1">
        <v>45009.82916666667</v>
      </c>
      <c r="K937" s="1">
        <v>45009.844444444447</v>
      </c>
      <c r="L937" t="s">
        <v>16</v>
      </c>
      <c r="M937" t="s">
        <v>17</v>
      </c>
    </row>
    <row r="938" spans="1:13" x14ac:dyDescent="0.3">
      <c r="A938" t="s">
        <v>966</v>
      </c>
      <c r="B938" t="s">
        <v>30</v>
      </c>
      <c r="C938" t="s">
        <v>36</v>
      </c>
      <c r="D938">
        <v>4.28</v>
      </c>
      <c r="E938">
        <v>103</v>
      </c>
      <c r="F938">
        <v>14.71</v>
      </c>
      <c r="G938">
        <v>88</v>
      </c>
      <c r="H938" s="1">
        <v>45009.833333333336</v>
      </c>
      <c r="I938" s="1">
        <v>45009.904861111114</v>
      </c>
      <c r="J938" s="1">
        <v>45009.831944444442</v>
      </c>
      <c r="K938" s="1">
        <v>45009.90347222222</v>
      </c>
      <c r="L938" t="s">
        <v>16</v>
      </c>
      <c r="M938" t="s">
        <v>20</v>
      </c>
    </row>
    <row r="939" spans="1:13" x14ac:dyDescent="0.3">
      <c r="A939" t="s">
        <v>967</v>
      </c>
      <c r="B939" t="s">
        <v>30</v>
      </c>
      <c r="C939" t="s">
        <v>36</v>
      </c>
      <c r="D939">
        <v>1.97</v>
      </c>
      <c r="E939">
        <v>47</v>
      </c>
      <c r="F939">
        <v>9.7200000000000006</v>
      </c>
      <c r="G939">
        <v>99</v>
      </c>
      <c r="H939" s="1">
        <v>45009.840277777781</v>
      </c>
      <c r="I939" s="1">
        <v>45009.872916666667</v>
      </c>
      <c r="J939" s="1">
        <v>45009.842361111114</v>
      </c>
      <c r="K939" s="1">
        <v>45009.875</v>
      </c>
      <c r="L939" t="s">
        <v>16</v>
      </c>
      <c r="M939" t="s">
        <v>17</v>
      </c>
    </row>
    <row r="940" spans="1:13" x14ac:dyDescent="0.3">
      <c r="A940" t="s">
        <v>968</v>
      </c>
      <c r="B940" t="s">
        <v>30</v>
      </c>
      <c r="C940" t="s">
        <v>36</v>
      </c>
      <c r="D940">
        <v>3.28</v>
      </c>
      <c r="E940">
        <v>50</v>
      </c>
      <c r="F940">
        <v>7.97</v>
      </c>
      <c r="G940">
        <v>96</v>
      </c>
      <c r="H940" s="1">
        <v>45009.847222222219</v>
      </c>
      <c r="I940" s="1">
        <v>45009.881944444445</v>
      </c>
      <c r="J940" s="1">
        <v>45009.864583333336</v>
      </c>
      <c r="K940" s="1">
        <v>45009.899305555555</v>
      </c>
      <c r="L940" t="s">
        <v>19</v>
      </c>
      <c r="M940" t="s">
        <v>20</v>
      </c>
    </row>
    <row r="941" spans="1:13" x14ac:dyDescent="0.3">
      <c r="A941" t="s">
        <v>969</v>
      </c>
      <c r="B941" t="s">
        <v>14</v>
      </c>
      <c r="C941" t="s">
        <v>32</v>
      </c>
      <c r="D941">
        <v>2.31</v>
      </c>
      <c r="E941">
        <v>87</v>
      </c>
      <c r="F941">
        <v>5.9</v>
      </c>
      <c r="G941">
        <v>95</v>
      </c>
      <c r="H941" s="1">
        <v>45009.854166666664</v>
      </c>
      <c r="I941" s="1">
        <v>45009.914583333331</v>
      </c>
      <c r="J941" s="1">
        <v>45009.855555555558</v>
      </c>
      <c r="K941" s="1">
        <v>45009.915972222225</v>
      </c>
      <c r="L941" t="s">
        <v>16</v>
      </c>
      <c r="M941" t="s">
        <v>28</v>
      </c>
    </row>
    <row r="942" spans="1:13" x14ac:dyDescent="0.3">
      <c r="A942" t="s">
        <v>970</v>
      </c>
      <c r="B942" t="s">
        <v>30</v>
      </c>
      <c r="C942" t="s">
        <v>27</v>
      </c>
      <c r="D942">
        <v>2.88</v>
      </c>
      <c r="E942">
        <v>105</v>
      </c>
      <c r="F942">
        <v>14.3</v>
      </c>
      <c r="G942">
        <v>83</v>
      </c>
      <c r="H942" s="1">
        <v>45009.861111111109</v>
      </c>
      <c r="I942" s="1">
        <v>45009.934027777781</v>
      </c>
      <c r="J942" s="1">
        <v>45009.864583333336</v>
      </c>
      <c r="K942" s="1">
        <v>45009.9375</v>
      </c>
      <c r="L942" t="s">
        <v>16</v>
      </c>
      <c r="M942" t="s">
        <v>17</v>
      </c>
    </row>
    <row r="943" spans="1:13" x14ac:dyDescent="0.3">
      <c r="A943" t="s">
        <v>971</v>
      </c>
      <c r="B943" t="s">
        <v>22</v>
      </c>
      <c r="C943" t="s">
        <v>23</v>
      </c>
      <c r="D943">
        <v>4.7300000000000004</v>
      </c>
      <c r="E943">
        <v>20</v>
      </c>
      <c r="F943">
        <v>4.97</v>
      </c>
      <c r="G943">
        <v>90</v>
      </c>
      <c r="H943" s="1">
        <v>45009.868055555555</v>
      </c>
      <c r="I943" s="1">
        <v>45009.881944444445</v>
      </c>
      <c r="J943" s="1">
        <v>45009.868055555555</v>
      </c>
      <c r="K943" s="1">
        <v>45009.881944444445</v>
      </c>
      <c r="L943" t="s">
        <v>16</v>
      </c>
      <c r="M943" t="s">
        <v>28</v>
      </c>
    </row>
    <row r="944" spans="1:13" x14ac:dyDescent="0.3">
      <c r="A944" t="s">
        <v>972</v>
      </c>
      <c r="B944" t="s">
        <v>22</v>
      </c>
      <c r="C944" t="s">
        <v>15</v>
      </c>
      <c r="D944">
        <v>2.17</v>
      </c>
      <c r="E944">
        <v>71</v>
      </c>
      <c r="F944">
        <v>12.6</v>
      </c>
      <c r="G944">
        <v>97</v>
      </c>
      <c r="H944" s="1">
        <v>45009.875</v>
      </c>
      <c r="I944" s="1">
        <v>45009.924305555556</v>
      </c>
      <c r="L944" t="s">
        <v>24</v>
      </c>
      <c r="M944" t="s">
        <v>20</v>
      </c>
    </row>
    <row r="945" spans="1:13" x14ac:dyDescent="0.3">
      <c r="A945" t="s">
        <v>973</v>
      </c>
      <c r="B945" t="s">
        <v>30</v>
      </c>
      <c r="C945" t="s">
        <v>23</v>
      </c>
      <c r="D945">
        <v>4.3099999999999996</v>
      </c>
      <c r="E945">
        <v>43</v>
      </c>
      <c r="F945">
        <v>6.5</v>
      </c>
      <c r="G945">
        <v>90</v>
      </c>
      <c r="H945" s="1">
        <v>45009.881944444445</v>
      </c>
      <c r="I945" s="1">
        <v>45009.911805555559</v>
      </c>
      <c r="J945" s="1">
        <v>45009.902777777781</v>
      </c>
      <c r="K945" s="1">
        <v>45009.932638888888</v>
      </c>
      <c r="L945" t="s">
        <v>19</v>
      </c>
      <c r="M945" t="s">
        <v>20</v>
      </c>
    </row>
    <row r="946" spans="1:13" x14ac:dyDescent="0.3">
      <c r="A946" t="s">
        <v>974</v>
      </c>
      <c r="B946" t="s">
        <v>22</v>
      </c>
      <c r="C946" t="s">
        <v>27</v>
      </c>
      <c r="D946">
        <v>3.1</v>
      </c>
      <c r="E946">
        <v>33</v>
      </c>
      <c r="F946">
        <v>2.46</v>
      </c>
      <c r="G946">
        <v>97</v>
      </c>
      <c r="H946" s="1">
        <v>45009.888888888891</v>
      </c>
      <c r="I946" s="1">
        <v>45009.911805555559</v>
      </c>
      <c r="J946" s="1">
        <v>45009.90625</v>
      </c>
      <c r="K946" s="1">
        <v>45009.929166666669</v>
      </c>
      <c r="L946" t="s">
        <v>19</v>
      </c>
      <c r="M946" t="s">
        <v>20</v>
      </c>
    </row>
    <row r="947" spans="1:13" x14ac:dyDescent="0.3">
      <c r="A947" t="s">
        <v>975</v>
      </c>
      <c r="B947" t="s">
        <v>14</v>
      </c>
      <c r="C947" t="s">
        <v>27</v>
      </c>
      <c r="D947">
        <v>1.94</v>
      </c>
      <c r="E947">
        <v>45</v>
      </c>
      <c r="F947">
        <v>2.4300000000000002</v>
      </c>
      <c r="G947">
        <v>90</v>
      </c>
      <c r="H947" s="1">
        <v>45009.895833333336</v>
      </c>
      <c r="I947" s="1">
        <v>45009.927083333336</v>
      </c>
      <c r="J947" s="1">
        <v>45009.893750000003</v>
      </c>
      <c r="K947" s="1">
        <v>45009.925000000003</v>
      </c>
      <c r="L947" t="s">
        <v>16</v>
      </c>
      <c r="M947" t="s">
        <v>20</v>
      </c>
    </row>
    <row r="948" spans="1:13" x14ac:dyDescent="0.3">
      <c r="A948" t="s">
        <v>976</v>
      </c>
      <c r="B948" t="s">
        <v>30</v>
      </c>
      <c r="C948" t="s">
        <v>36</v>
      </c>
      <c r="D948">
        <v>2.99</v>
      </c>
      <c r="E948">
        <v>88</v>
      </c>
      <c r="F948">
        <v>8.42</v>
      </c>
      <c r="G948">
        <v>82</v>
      </c>
      <c r="H948" s="1">
        <v>45009.902777777781</v>
      </c>
      <c r="I948" s="1">
        <v>45009.963888888888</v>
      </c>
      <c r="J948" s="1">
        <v>45009.902083333334</v>
      </c>
      <c r="K948" s="1">
        <v>45009.963194444441</v>
      </c>
      <c r="L948" t="s">
        <v>16</v>
      </c>
      <c r="M948" t="s">
        <v>20</v>
      </c>
    </row>
    <row r="949" spans="1:13" x14ac:dyDescent="0.3">
      <c r="A949" t="s">
        <v>977</v>
      </c>
      <c r="B949" t="s">
        <v>30</v>
      </c>
      <c r="C949" t="s">
        <v>32</v>
      </c>
      <c r="D949">
        <v>1.29</v>
      </c>
      <c r="E949">
        <v>100</v>
      </c>
      <c r="F949">
        <v>7.13</v>
      </c>
      <c r="G949">
        <v>82</v>
      </c>
      <c r="H949" s="1">
        <v>45009.909722222219</v>
      </c>
      <c r="I949" s="1">
        <v>45009.979166666664</v>
      </c>
      <c r="J949" s="1">
        <v>45009.911111111112</v>
      </c>
      <c r="K949" s="1">
        <v>45009.980555555558</v>
      </c>
      <c r="L949" t="s">
        <v>16</v>
      </c>
      <c r="M949" t="s">
        <v>28</v>
      </c>
    </row>
    <row r="950" spans="1:13" x14ac:dyDescent="0.3">
      <c r="A950" t="s">
        <v>978</v>
      </c>
      <c r="B950" t="s">
        <v>40</v>
      </c>
      <c r="C950" t="s">
        <v>36</v>
      </c>
      <c r="D950">
        <v>3.01</v>
      </c>
      <c r="E950">
        <v>57</v>
      </c>
      <c r="F950">
        <v>14.36</v>
      </c>
      <c r="G950">
        <v>93</v>
      </c>
      <c r="H950" s="1">
        <v>45009.916666666664</v>
      </c>
      <c r="I950" s="1">
        <v>45009.956250000003</v>
      </c>
      <c r="J950" s="1">
        <v>45009.918055555558</v>
      </c>
      <c r="K950" s="1">
        <v>45009.957638888889</v>
      </c>
      <c r="L950" t="s">
        <v>16</v>
      </c>
      <c r="M950" t="s">
        <v>17</v>
      </c>
    </row>
    <row r="951" spans="1:13" x14ac:dyDescent="0.3">
      <c r="A951" t="s">
        <v>979</v>
      </c>
      <c r="B951" t="s">
        <v>22</v>
      </c>
      <c r="C951" t="s">
        <v>36</v>
      </c>
      <c r="D951">
        <v>4.7</v>
      </c>
      <c r="E951">
        <v>92</v>
      </c>
      <c r="F951">
        <v>4</v>
      </c>
      <c r="G951">
        <v>89</v>
      </c>
      <c r="H951" s="1">
        <v>45009.923611111109</v>
      </c>
      <c r="I951" s="1">
        <v>45009.987500000003</v>
      </c>
      <c r="J951" s="1">
        <v>45009.926388888889</v>
      </c>
      <c r="K951" s="1">
        <v>45009.990277777775</v>
      </c>
      <c r="L951" t="s">
        <v>16</v>
      </c>
      <c r="M951" t="s">
        <v>28</v>
      </c>
    </row>
    <row r="952" spans="1:13" x14ac:dyDescent="0.3">
      <c r="A952" t="s">
        <v>980</v>
      </c>
      <c r="B952" t="s">
        <v>34</v>
      </c>
      <c r="C952" t="s">
        <v>36</v>
      </c>
      <c r="D952">
        <v>2.42</v>
      </c>
      <c r="E952">
        <v>81</v>
      </c>
      <c r="F952">
        <v>4.5199999999999996</v>
      </c>
      <c r="G952">
        <v>80</v>
      </c>
      <c r="H952" s="1">
        <v>45009.930555555555</v>
      </c>
      <c r="I952" s="1">
        <v>45009.986805555556</v>
      </c>
      <c r="J952" s="1">
        <v>45009.933333333334</v>
      </c>
      <c r="K952" s="1">
        <v>45009.989583333336</v>
      </c>
      <c r="L952" t="s">
        <v>16</v>
      </c>
      <c r="M952" t="s">
        <v>28</v>
      </c>
    </row>
    <row r="953" spans="1:13" x14ac:dyDescent="0.3">
      <c r="A953" t="s">
        <v>981</v>
      </c>
      <c r="B953" t="s">
        <v>30</v>
      </c>
      <c r="C953" t="s">
        <v>27</v>
      </c>
      <c r="D953">
        <v>1.69</v>
      </c>
      <c r="E953">
        <v>24</v>
      </c>
      <c r="F953">
        <v>10.01</v>
      </c>
      <c r="G953">
        <v>83</v>
      </c>
      <c r="H953" s="1">
        <v>45009.9375</v>
      </c>
      <c r="I953" s="1">
        <v>45009.95416666667</v>
      </c>
      <c r="J953" s="1">
        <v>45009.939583333333</v>
      </c>
      <c r="K953" s="1">
        <v>45009.956250000003</v>
      </c>
      <c r="L953" t="s">
        <v>16</v>
      </c>
      <c r="M953" t="s">
        <v>17</v>
      </c>
    </row>
    <row r="954" spans="1:13" x14ac:dyDescent="0.3">
      <c r="A954" t="s">
        <v>982</v>
      </c>
      <c r="B954" t="s">
        <v>40</v>
      </c>
      <c r="C954" t="s">
        <v>27</v>
      </c>
      <c r="D954">
        <v>2.85</v>
      </c>
      <c r="E954">
        <v>103</v>
      </c>
      <c r="F954">
        <v>7.28</v>
      </c>
      <c r="G954">
        <v>97</v>
      </c>
      <c r="H954" s="1">
        <v>45009.944444444445</v>
      </c>
      <c r="I954" s="1">
        <v>45010.015972222223</v>
      </c>
      <c r="J954" s="1">
        <v>45009.945138888892</v>
      </c>
      <c r="K954" s="1">
        <v>45010.01666666667</v>
      </c>
      <c r="L954" t="s">
        <v>16</v>
      </c>
      <c r="M954" t="s">
        <v>28</v>
      </c>
    </row>
    <row r="955" spans="1:13" x14ac:dyDescent="0.3">
      <c r="A955" t="s">
        <v>983</v>
      </c>
      <c r="B955" t="s">
        <v>14</v>
      </c>
      <c r="C955" t="s">
        <v>15</v>
      </c>
      <c r="D955">
        <v>4.54</v>
      </c>
      <c r="E955">
        <v>39</v>
      </c>
      <c r="F955">
        <v>3.74</v>
      </c>
      <c r="G955">
        <v>91</v>
      </c>
      <c r="H955" s="1">
        <v>45009.951388888891</v>
      </c>
      <c r="I955" s="1">
        <v>45009.978472222225</v>
      </c>
      <c r="J955" s="1">
        <v>45009.947916666664</v>
      </c>
      <c r="K955" s="1">
        <v>45009.974999999999</v>
      </c>
      <c r="L955" t="s">
        <v>16</v>
      </c>
      <c r="M955" t="s">
        <v>20</v>
      </c>
    </row>
    <row r="956" spans="1:13" x14ac:dyDescent="0.3">
      <c r="A956" t="s">
        <v>984</v>
      </c>
      <c r="B956" t="s">
        <v>22</v>
      </c>
      <c r="C956" t="s">
        <v>36</v>
      </c>
      <c r="D956">
        <v>1.02</v>
      </c>
      <c r="E956">
        <v>55</v>
      </c>
      <c r="F956">
        <v>14.79</v>
      </c>
      <c r="G956">
        <v>94</v>
      </c>
      <c r="H956" s="1">
        <v>45009.958333333336</v>
      </c>
      <c r="I956" s="1">
        <v>45009.996527777781</v>
      </c>
      <c r="L956" t="s">
        <v>24</v>
      </c>
      <c r="M956" t="s">
        <v>20</v>
      </c>
    </row>
    <row r="957" spans="1:13" x14ac:dyDescent="0.3">
      <c r="A957" t="s">
        <v>985</v>
      </c>
      <c r="B957" t="s">
        <v>14</v>
      </c>
      <c r="C957" t="s">
        <v>27</v>
      </c>
      <c r="D957">
        <v>2.71</v>
      </c>
      <c r="E957">
        <v>51</v>
      </c>
      <c r="F957">
        <v>7.12</v>
      </c>
      <c r="G957">
        <v>90</v>
      </c>
      <c r="H957" s="1">
        <v>45009.965277777781</v>
      </c>
      <c r="I957" s="1">
        <v>45010.000694444447</v>
      </c>
      <c r="J957" s="1">
        <v>45009.966666666667</v>
      </c>
      <c r="K957" s="1">
        <v>45010.002083333333</v>
      </c>
      <c r="L957" t="s">
        <v>16</v>
      </c>
      <c r="M957" t="s">
        <v>28</v>
      </c>
    </row>
    <row r="958" spans="1:13" x14ac:dyDescent="0.3">
      <c r="A958" t="s">
        <v>986</v>
      </c>
      <c r="B958" t="s">
        <v>30</v>
      </c>
      <c r="C958" t="s">
        <v>36</v>
      </c>
      <c r="D958">
        <v>3.98</v>
      </c>
      <c r="E958">
        <v>90</v>
      </c>
      <c r="F958">
        <v>8.91</v>
      </c>
      <c r="G958">
        <v>86</v>
      </c>
      <c r="H958" s="1">
        <v>45009.972222222219</v>
      </c>
      <c r="I958" s="1">
        <v>45010.034722222219</v>
      </c>
      <c r="J958" s="1">
        <v>45009.988194444442</v>
      </c>
      <c r="K958" s="1">
        <v>45010.050694444442</v>
      </c>
      <c r="L958" t="s">
        <v>19</v>
      </c>
      <c r="M958" t="s">
        <v>20</v>
      </c>
    </row>
    <row r="959" spans="1:13" x14ac:dyDescent="0.3">
      <c r="A959" t="s">
        <v>987</v>
      </c>
      <c r="B959" t="s">
        <v>34</v>
      </c>
      <c r="C959" t="s">
        <v>15</v>
      </c>
      <c r="D959">
        <v>3.02</v>
      </c>
      <c r="E959">
        <v>44</v>
      </c>
      <c r="F959">
        <v>2.83</v>
      </c>
      <c r="G959">
        <v>98</v>
      </c>
      <c r="H959" s="1">
        <v>45009.979166666664</v>
      </c>
      <c r="I959" s="1">
        <v>45010.009722222225</v>
      </c>
      <c r="J959" s="1">
        <v>45009.975694444445</v>
      </c>
      <c r="K959" s="1">
        <v>45010.006249999999</v>
      </c>
      <c r="L959" t="s">
        <v>16</v>
      </c>
      <c r="M959" t="s">
        <v>20</v>
      </c>
    </row>
    <row r="960" spans="1:13" x14ac:dyDescent="0.3">
      <c r="A960" t="s">
        <v>988</v>
      </c>
      <c r="B960" t="s">
        <v>22</v>
      </c>
      <c r="C960" t="s">
        <v>23</v>
      </c>
      <c r="D960">
        <v>4.28</v>
      </c>
      <c r="E960">
        <v>84</v>
      </c>
      <c r="F960">
        <v>14.44</v>
      </c>
      <c r="G960">
        <v>88</v>
      </c>
      <c r="H960" s="1">
        <v>45009.986111111109</v>
      </c>
      <c r="I960" s="1">
        <v>45010.044444444444</v>
      </c>
      <c r="J960" s="1">
        <v>45009.986805555556</v>
      </c>
      <c r="K960" s="1">
        <v>45010.045138888891</v>
      </c>
      <c r="L960" t="s">
        <v>16</v>
      </c>
      <c r="M960" t="s">
        <v>17</v>
      </c>
    </row>
    <row r="961" spans="1:13" x14ac:dyDescent="0.3">
      <c r="A961" t="s">
        <v>989</v>
      </c>
      <c r="B961" t="s">
        <v>22</v>
      </c>
      <c r="C961" t="s">
        <v>23</v>
      </c>
      <c r="D961">
        <v>2.17</v>
      </c>
      <c r="E961">
        <v>88</v>
      </c>
      <c r="F961">
        <v>3.03</v>
      </c>
      <c r="G961">
        <v>80</v>
      </c>
      <c r="H961" s="1">
        <v>45009.993055555555</v>
      </c>
      <c r="I961" s="1">
        <v>45010.054166666669</v>
      </c>
      <c r="J961" s="1">
        <v>45009.989583333336</v>
      </c>
      <c r="K961" s="1">
        <v>45010.050694444442</v>
      </c>
      <c r="L961" t="s">
        <v>16</v>
      </c>
      <c r="M961" t="s">
        <v>20</v>
      </c>
    </row>
    <row r="962" spans="1:13" x14ac:dyDescent="0.3">
      <c r="A962" t="s">
        <v>990</v>
      </c>
      <c r="B962" t="s">
        <v>22</v>
      </c>
      <c r="C962" t="s">
        <v>32</v>
      </c>
      <c r="D962">
        <v>4.1500000000000004</v>
      </c>
      <c r="E962">
        <v>93</v>
      </c>
      <c r="F962">
        <v>2.2400000000000002</v>
      </c>
      <c r="G962">
        <v>97</v>
      </c>
      <c r="H962" s="1">
        <v>45010</v>
      </c>
      <c r="I962" s="1">
        <v>45010.064583333333</v>
      </c>
      <c r="J962" s="1">
        <v>45010.00277777778</v>
      </c>
      <c r="K962" s="1">
        <v>45010.067361111112</v>
      </c>
      <c r="L962" t="s">
        <v>16</v>
      </c>
      <c r="M962" t="s">
        <v>28</v>
      </c>
    </row>
    <row r="963" spans="1:13" x14ac:dyDescent="0.3">
      <c r="A963" t="s">
        <v>991</v>
      </c>
      <c r="B963" t="s">
        <v>14</v>
      </c>
      <c r="C963" t="s">
        <v>15</v>
      </c>
      <c r="D963">
        <v>4.6399999999999997</v>
      </c>
      <c r="E963">
        <v>67</v>
      </c>
      <c r="F963">
        <v>10.74</v>
      </c>
      <c r="G963">
        <v>96</v>
      </c>
      <c r="H963" s="1">
        <v>45010.006944444445</v>
      </c>
      <c r="I963" s="1">
        <v>45010.053472222222</v>
      </c>
      <c r="J963" s="1">
        <v>45010.010416666664</v>
      </c>
      <c r="K963" s="1">
        <v>45010.056944444441</v>
      </c>
      <c r="L963" t="s">
        <v>16</v>
      </c>
      <c r="M963" t="s">
        <v>17</v>
      </c>
    </row>
    <row r="964" spans="1:13" x14ac:dyDescent="0.3">
      <c r="A964" t="s">
        <v>992</v>
      </c>
      <c r="B964" t="s">
        <v>22</v>
      </c>
      <c r="C964" t="s">
        <v>23</v>
      </c>
      <c r="D964">
        <v>3.83</v>
      </c>
      <c r="E964">
        <v>101</v>
      </c>
      <c r="F964">
        <v>11.33</v>
      </c>
      <c r="G964">
        <v>80</v>
      </c>
      <c r="H964" s="1">
        <v>45010.013888888891</v>
      </c>
      <c r="I964" s="1">
        <v>45010.084027777775</v>
      </c>
      <c r="J964" s="1">
        <v>45010.010416666664</v>
      </c>
      <c r="K964" s="1">
        <v>45010.080555555556</v>
      </c>
      <c r="L964" t="s">
        <v>16</v>
      </c>
      <c r="M964" t="s">
        <v>20</v>
      </c>
    </row>
    <row r="965" spans="1:13" x14ac:dyDescent="0.3">
      <c r="A965" t="s">
        <v>993</v>
      </c>
      <c r="B965" t="s">
        <v>40</v>
      </c>
      <c r="C965" t="s">
        <v>23</v>
      </c>
      <c r="D965">
        <v>4.8600000000000003</v>
      </c>
      <c r="E965">
        <v>66</v>
      </c>
      <c r="F965">
        <v>8.07</v>
      </c>
      <c r="G965">
        <v>93</v>
      </c>
      <c r="H965" s="1">
        <v>45010.020833333336</v>
      </c>
      <c r="I965" s="1">
        <v>45010.066666666666</v>
      </c>
      <c r="J965" s="1">
        <v>45010.022916666669</v>
      </c>
      <c r="K965" s="1">
        <v>45010.068749999999</v>
      </c>
      <c r="L965" t="s">
        <v>16</v>
      </c>
      <c r="M965" t="s">
        <v>17</v>
      </c>
    </row>
    <row r="966" spans="1:13" x14ac:dyDescent="0.3">
      <c r="A966" t="s">
        <v>994</v>
      </c>
      <c r="B966" t="s">
        <v>30</v>
      </c>
      <c r="C966" t="s">
        <v>36</v>
      </c>
      <c r="D966">
        <v>2.38</v>
      </c>
      <c r="E966">
        <v>43</v>
      </c>
      <c r="F966">
        <v>12.77</v>
      </c>
      <c r="G966">
        <v>97</v>
      </c>
      <c r="H966" s="1">
        <v>45010.027777777781</v>
      </c>
      <c r="I966" s="1">
        <v>45010.057638888888</v>
      </c>
      <c r="J966" s="1">
        <v>45010.029861111114</v>
      </c>
      <c r="K966" s="1">
        <v>45010.05972222222</v>
      </c>
      <c r="L966" t="s">
        <v>16</v>
      </c>
      <c r="M966" t="s">
        <v>17</v>
      </c>
    </row>
    <row r="967" spans="1:13" x14ac:dyDescent="0.3">
      <c r="A967" t="s">
        <v>995</v>
      </c>
      <c r="B967" t="s">
        <v>30</v>
      </c>
      <c r="C967" t="s">
        <v>27</v>
      </c>
      <c r="D967">
        <v>1.49</v>
      </c>
      <c r="E967">
        <v>114</v>
      </c>
      <c r="F967">
        <v>10.41</v>
      </c>
      <c r="G967">
        <v>84</v>
      </c>
      <c r="H967" s="1">
        <v>45010.034722222219</v>
      </c>
      <c r="I967" s="1">
        <v>45010.113888888889</v>
      </c>
      <c r="J967" s="1">
        <v>45010.03125</v>
      </c>
      <c r="K967" s="1">
        <v>45010.11041666667</v>
      </c>
      <c r="L967" t="s">
        <v>16</v>
      </c>
      <c r="M967" t="s">
        <v>20</v>
      </c>
    </row>
    <row r="968" spans="1:13" x14ac:dyDescent="0.3">
      <c r="A968" t="s">
        <v>996</v>
      </c>
      <c r="B968" t="s">
        <v>34</v>
      </c>
      <c r="C968" t="s">
        <v>23</v>
      </c>
      <c r="D968">
        <v>4.38</v>
      </c>
      <c r="E968">
        <v>64</v>
      </c>
      <c r="F968">
        <v>8.7899999999999991</v>
      </c>
      <c r="G968">
        <v>98</v>
      </c>
      <c r="H968" s="1">
        <v>45010.041666666664</v>
      </c>
      <c r="I968" s="1">
        <v>45010.086111111108</v>
      </c>
      <c r="J968" s="1">
        <v>45010.039583333331</v>
      </c>
      <c r="K968" s="1">
        <v>45010.084027777775</v>
      </c>
      <c r="L968" t="s">
        <v>16</v>
      </c>
      <c r="M968" t="s">
        <v>20</v>
      </c>
    </row>
    <row r="969" spans="1:13" x14ac:dyDescent="0.3">
      <c r="A969" t="s">
        <v>997</v>
      </c>
      <c r="B969" t="s">
        <v>40</v>
      </c>
      <c r="C969" t="s">
        <v>32</v>
      </c>
      <c r="D969">
        <v>3.55</v>
      </c>
      <c r="E969">
        <v>32</v>
      </c>
      <c r="F969">
        <v>13.1</v>
      </c>
      <c r="G969">
        <v>89</v>
      </c>
      <c r="H969" s="1">
        <v>45010.048611111109</v>
      </c>
      <c r="I969" s="1">
        <v>45010.070833333331</v>
      </c>
      <c r="J969" s="1">
        <v>45010.052083333336</v>
      </c>
      <c r="K969" s="1">
        <v>45010.074305555558</v>
      </c>
      <c r="L969" t="s">
        <v>16</v>
      </c>
      <c r="M969" t="s">
        <v>17</v>
      </c>
    </row>
    <row r="970" spans="1:13" x14ac:dyDescent="0.3">
      <c r="A970" t="s">
        <v>998</v>
      </c>
      <c r="B970" t="s">
        <v>30</v>
      </c>
      <c r="C970" t="s">
        <v>36</v>
      </c>
      <c r="D970">
        <v>4.5</v>
      </c>
      <c r="E970">
        <v>32</v>
      </c>
      <c r="F970">
        <v>8.68</v>
      </c>
      <c r="G970">
        <v>91</v>
      </c>
      <c r="H970" s="1">
        <v>45010.055555555555</v>
      </c>
      <c r="I970" s="1">
        <v>45010.077777777777</v>
      </c>
      <c r="J970" s="1">
        <v>45010.074305555558</v>
      </c>
      <c r="K970" s="1">
        <v>45010.09652777778</v>
      </c>
      <c r="L970" t="s">
        <v>19</v>
      </c>
      <c r="M970" t="s">
        <v>20</v>
      </c>
    </row>
    <row r="971" spans="1:13" x14ac:dyDescent="0.3">
      <c r="A971" t="s">
        <v>999</v>
      </c>
      <c r="B971" t="s">
        <v>22</v>
      </c>
      <c r="C971" t="s">
        <v>15</v>
      </c>
      <c r="D971">
        <v>2.78</v>
      </c>
      <c r="E971">
        <v>75</v>
      </c>
      <c r="F971">
        <v>4.4000000000000004</v>
      </c>
      <c r="G971">
        <v>82</v>
      </c>
      <c r="H971" s="1">
        <v>45010.0625</v>
      </c>
      <c r="I971" s="1">
        <v>45010.114583333336</v>
      </c>
      <c r="J971" s="1">
        <v>45010.05972222222</v>
      </c>
      <c r="K971" s="1">
        <v>45010.111805555556</v>
      </c>
      <c r="L971" t="s">
        <v>16</v>
      </c>
      <c r="M971" t="s">
        <v>20</v>
      </c>
    </row>
    <row r="972" spans="1:13" x14ac:dyDescent="0.3">
      <c r="A972" t="s">
        <v>1000</v>
      </c>
      <c r="B972" t="s">
        <v>30</v>
      </c>
      <c r="C972" t="s">
        <v>36</v>
      </c>
      <c r="D972">
        <v>1.88</v>
      </c>
      <c r="E972">
        <v>119</v>
      </c>
      <c r="F972">
        <v>4.6900000000000004</v>
      </c>
      <c r="G972">
        <v>83</v>
      </c>
      <c r="H972" s="1">
        <v>45010.069444444445</v>
      </c>
      <c r="I972" s="1">
        <v>45010.152083333334</v>
      </c>
      <c r="J972" s="1">
        <v>45010.065972222219</v>
      </c>
      <c r="K972" s="1">
        <v>45010.148611111108</v>
      </c>
      <c r="L972" t="s">
        <v>16</v>
      </c>
      <c r="M972" t="s">
        <v>20</v>
      </c>
    </row>
    <row r="973" spans="1:13" x14ac:dyDescent="0.3">
      <c r="A973" t="s">
        <v>1001</v>
      </c>
      <c r="B973" t="s">
        <v>40</v>
      </c>
      <c r="C973" t="s">
        <v>36</v>
      </c>
      <c r="D973">
        <v>4.67</v>
      </c>
      <c r="E973">
        <v>59</v>
      </c>
      <c r="F973">
        <v>10.72</v>
      </c>
      <c r="G973">
        <v>80</v>
      </c>
      <c r="H973" s="1">
        <v>45010.076388888891</v>
      </c>
      <c r="I973" s="1">
        <v>45010.117361111108</v>
      </c>
      <c r="J973" s="1">
        <v>45010.07708333333</v>
      </c>
      <c r="K973" s="1">
        <v>45010.118055555555</v>
      </c>
      <c r="L973" t="s">
        <v>16</v>
      </c>
      <c r="M973" t="s">
        <v>17</v>
      </c>
    </row>
    <row r="974" spans="1:13" x14ac:dyDescent="0.3">
      <c r="A974" t="s">
        <v>1002</v>
      </c>
      <c r="B974" t="s">
        <v>30</v>
      </c>
      <c r="C974" t="s">
        <v>32</v>
      </c>
      <c r="D974">
        <v>4.43</v>
      </c>
      <c r="E974">
        <v>61</v>
      </c>
      <c r="F974">
        <v>11.68</v>
      </c>
      <c r="G974">
        <v>89</v>
      </c>
      <c r="H974" s="1">
        <v>45010.083333333336</v>
      </c>
      <c r="I974" s="1">
        <v>45010.125694444447</v>
      </c>
      <c r="J974" s="1">
        <v>45010.079861111109</v>
      </c>
      <c r="K974" s="1">
        <v>45010.12222222222</v>
      </c>
      <c r="L974" t="s">
        <v>16</v>
      </c>
      <c r="M974" t="s">
        <v>20</v>
      </c>
    </row>
    <row r="975" spans="1:13" x14ac:dyDescent="0.3">
      <c r="A975" t="s">
        <v>1003</v>
      </c>
      <c r="B975" t="s">
        <v>34</v>
      </c>
      <c r="C975" t="s">
        <v>23</v>
      </c>
      <c r="D975">
        <v>2.81</v>
      </c>
      <c r="E975">
        <v>41</v>
      </c>
      <c r="F975">
        <v>14.04</v>
      </c>
      <c r="G975">
        <v>92</v>
      </c>
      <c r="H975" s="1">
        <v>45010.090277777781</v>
      </c>
      <c r="I975" s="1">
        <v>45010.118750000001</v>
      </c>
      <c r="J975" s="1">
        <v>45010.106249999997</v>
      </c>
      <c r="K975" s="1">
        <v>45010.134722222225</v>
      </c>
      <c r="L975" t="s">
        <v>19</v>
      </c>
      <c r="M975" t="s">
        <v>20</v>
      </c>
    </row>
    <row r="976" spans="1:13" x14ac:dyDescent="0.3">
      <c r="A976" t="s">
        <v>1004</v>
      </c>
      <c r="B976" t="s">
        <v>40</v>
      </c>
      <c r="C976" t="s">
        <v>27</v>
      </c>
      <c r="D976">
        <v>1.35</v>
      </c>
      <c r="E976">
        <v>93</v>
      </c>
      <c r="F976">
        <v>10.220000000000001</v>
      </c>
      <c r="G976">
        <v>94</v>
      </c>
      <c r="H976" s="1">
        <v>45010.097222222219</v>
      </c>
      <c r="I976" s="1">
        <v>45010.161805555559</v>
      </c>
      <c r="J976" s="1">
        <v>45010.095138888886</v>
      </c>
      <c r="K976" s="1">
        <v>45010.159722222219</v>
      </c>
      <c r="L976" t="s">
        <v>16</v>
      </c>
      <c r="M976" t="s">
        <v>20</v>
      </c>
    </row>
    <row r="977" spans="1:13" x14ac:dyDescent="0.3">
      <c r="A977" t="s">
        <v>1005</v>
      </c>
      <c r="B977" t="s">
        <v>34</v>
      </c>
      <c r="C977" t="s">
        <v>23</v>
      </c>
      <c r="D977">
        <v>4.2300000000000004</v>
      </c>
      <c r="E977">
        <v>101</v>
      </c>
      <c r="F977">
        <v>9.23</v>
      </c>
      <c r="G977">
        <v>87</v>
      </c>
      <c r="H977" s="1">
        <v>45010.104166666664</v>
      </c>
      <c r="I977" s="1">
        <v>45010.174305555556</v>
      </c>
      <c r="L977" t="s">
        <v>24</v>
      </c>
      <c r="M977" t="s">
        <v>20</v>
      </c>
    </row>
    <row r="978" spans="1:13" x14ac:dyDescent="0.3">
      <c r="A978" t="s">
        <v>1006</v>
      </c>
      <c r="B978" t="s">
        <v>14</v>
      </c>
      <c r="C978" t="s">
        <v>32</v>
      </c>
      <c r="D978">
        <v>1.73</v>
      </c>
      <c r="E978">
        <v>78</v>
      </c>
      <c r="F978">
        <v>7</v>
      </c>
      <c r="G978">
        <v>93</v>
      </c>
      <c r="H978" s="1">
        <v>45010.111111111109</v>
      </c>
      <c r="I978" s="1">
        <v>45010.165277777778</v>
      </c>
      <c r="L978" t="s">
        <v>24</v>
      </c>
      <c r="M978" t="s">
        <v>20</v>
      </c>
    </row>
    <row r="979" spans="1:13" x14ac:dyDescent="0.3">
      <c r="A979" t="s">
        <v>1007</v>
      </c>
      <c r="B979" t="s">
        <v>30</v>
      </c>
      <c r="C979" t="s">
        <v>32</v>
      </c>
      <c r="D979">
        <v>3.57</v>
      </c>
      <c r="E979">
        <v>98</v>
      </c>
      <c r="F979">
        <v>10.050000000000001</v>
      </c>
      <c r="G979">
        <v>99</v>
      </c>
      <c r="H979" s="1">
        <v>45010.118055555555</v>
      </c>
      <c r="I979" s="1">
        <v>45010.186111111114</v>
      </c>
      <c r="J979" s="1">
        <v>45010.131944444445</v>
      </c>
      <c r="K979" s="1">
        <v>45010.2</v>
      </c>
      <c r="L979" t="s">
        <v>19</v>
      </c>
      <c r="M979" t="s">
        <v>20</v>
      </c>
    </row>
    <row r="980" spans="1:13" x14ac:dyDescent="0.3">
      <c r="A980" t="s">
        <v>1008</v>
      </c>
      <c r="B980" t="s">
        <v>30</v>
      </c>
      <c r="C980" t="s">
        <v>23</v>
      </c>
      <c r="D980">
        <v>1.1499999999999999</v>
      </c>
      <c r="E980">
        <v>100</v>
      </c>
      <c r="F980">
        <v>9.77</v>
      </c>
      <c r="G980">
        <v>98</v>
      </c>
      <c r="H980" s="1">
        <v>45010.125</v>
      </c>
      <c r="I980" s="1">
        <v>45010.194444444445</v>
      </c>
      <c r="J980" s="1">
        <v>45010.137499999997</v>
      </c>
      <c r="K980" s="1">
        <v>45010.206944444442</v>
      </c>
      <c r="L980" t="s">
        <v>19</v>
      </c>
      <c r="M980" t="s">
        <v>20</v>
      </c>
    </row>
    <row r="981" spans="1:13" x14ac:dyDescent="0.3">
      <c r="A981" t="s">
        <v>1009</v>
      </c>
      <c r="B981" t="s">
        <v>40</v>
      </c>
      <c r="C981" t="s">
        <v>23</v>
      </c>
      <c r="D981">
        <v>4.16</v>
      </c>
      <c r="E981">
        <v>71</v>
      </c>
      <c r="F981">
        <v>12.3</v>
      </c>
      <c r="G981">
        <v>84</v>
      </c>
      <c r="H981" s="1">
        <v>45010.131944444445</v>
      </c>
      <c r="I981" s="1">
        <v>45010.181250000001</v>
      </c>
      <c r="L981" t="s">
        <v>24</v>
      </c>
      <c r="M981" t="s">
        <v>20</v>
      </c>
    </row>
    <row r="982" spans="1:13" x14ac:dyDescent="0.3">
      <c r="A982" t="s">
        <v>1010</v>
      </c>
      <c r="B982" t="s">
        <v>30</v>
      </c>
      <c r="C982" t="s">
        <v>36</v>
      </c>
      <c r="D982">
        <v>1.89</v>
      </c>
      <c r="E982">
        <v>80</v>
      </c>
      <c r="F982">
        <v>14.98</v>
      </c>
      <c r="G982">
        <v>91</v>
      </c>
      <c r="H982" s="1">
        <v>45010.138888888891</v>
      </c>
      <c r="I982" s="1">
        <v>45010.194444444445</v>
      </c>
      <c r="J982" s="1">
        <v>45010.136805555558</v>
      </c>
      <c r="K982" s="1">
        <v>45010.192361111112</v>
      </c>
      <c r="L982" t="s">
        <v>16</v>
      </c>
      <c r="M982" t="s">
        <v>20</v>
      </c>
    </row>
    <row r="983" spans="1:13" x14ac:dyDescent="0.3">
      <c r="A983" t="s">
        <v>1011</v>
      </c>
      <c r="B983" t="s">
        <v>14</v>
      </c>
      <c r="C983" t="s">
        <v>23</v>
      </c>
      <c r="D983">
        <v>1.29</v>
      </c>
      <c r="E983">
        <v>27</v>
      </c>
      <c r="F983">
        <v>13.25</v>
      </c>
      <c r="G983">
        <v>96</v>
      </c>
      <c r="H983" s="1">
        <v>45010.145833333336</v>
      </c>
      <c r="I983" s="1">
        <v>45010.164583333331</v>
      </c>
      <c r="J983" s="1">
        <v>45010.145138888889</v>
      </c>
      <c r="K983" s="1">
        <v>45010.163888888892</v>
      </c>
      <c r="L983" t="s">
        <v>16</v>
      </c>
      <c r="M983" t="s">
        <v>20</v>
      </c>
    </row>
    <row r="984" spans="1:13" x14ac:dyDescent="0.3">
      <c r="A984" t="s">
        <v>1012</v>
      </c>
      <c r="B984" t="s">
        <v>34</v>
      </c>
      <c r="C984" t="s">
        <v>27</v>
      </c>
      <c r="D984">
        <v>2.85</v>
      </c>
      <c r="E984">
        <v>46</v>
      </c>
      <c r="F984">
        <v>14.1</v>
      </c>
      <c r="G984">
        <v>91</v>
      </c>
      <c r="H984" s="1">
        <v>45010.152777777781</v>
      </c>
      <c r="I984" s="1">
        <v>45010.18472222222</v>
      </c>
      <c r="J984" s="1">
        <v>45010.160416666666</v>
      </c>
      <c r="K984" s="1">
        <v>45010.192361111112</v>
      </c>
      <c r="L984" t="s">
        <v>19</v>
      </c>
      <c r="M984" t="s">
        <v>20</v>
      </c>
    </row>
    <row r="985" spans="1:13" x14ac:dyDescent="0.3">
      <c r="A985" t="s">
        <v>1013</v>
      </c>
      <c r="B985" t="s">
        <v>22</v>
      </c>
      <c r="C985" t="s">
        <v>15</v>
      </c>
      <c r="D985">
        <v>2.02</v>
      </c>
      <c r="E985">
        <v>74</v>
      </c>
      <c r="F985">
        <v>9.0500000000000007</v>
      </c>
      <c r="G985">
        <v>84</v>
      </c>
      <c r="H985" s="1">
        <v>45010.159722222219</v>
      </c>
      <c r="I985" s="1">
        <v>45010.211111111108</v>
      </c>
      <c r="J985" s="1">
        <v>45010.178472222222</v>
      </c>
      <c r="K985" s="1">
        <v>45010.229861111111</v>
      </c>
      <c r="L985" t="s">
        <v>19</v>
      </c>
      <c r="M985" t="s">
        <v>20</v>
      </c>
    </row>
    <row r="986" spans="1:13" x14ac:dyDescent="0.3">
      <c r="A986" t="s">
        <v>1014</v>
      </c>
      <c r="B986" t="s">
        <v>30</v>
      </c>
      <c r="C986" t="s">
        <v>23</v>
      </c>
      <c r="D986">
        <v>3.71</v>
      </c>
      <c r="E986">
        <v>103</v>
      </c>
      <c r="F986">
        <v>5.66</v>
      </c>
      <c r="G986">
        <v>92</v>
      </c>
      <c r="H986" s="1">
        <v>45010.166666666664</v>
      </c>
      <c r="I986" s="1">
        <v>45010.238194444442</v>
      </c>
      <c r="J986" s="1">
        <v>45010.175694444442</v>
      </c>
      <c r="K986" s="1">
        <v>45010.24722222222</v>
      </c>
      <c r="L986" t="s">
        <v>19</v>
      </c>
      <c r="M986" t="s">
        <v>20</v>
      </c>
    </row>
    <row r="987" spans="1:13" x14ac:dyDescent="0.3">
      <c r="A987" t="s">
        <v>1015</v>
      </c>
      <c r="B987" t="s">
        <v>34</v>
      </c>
      <c r="C987" t="s">
        <v>23</v>
      </c>
      <c r="D987">
        <v>3.47</v>
      </c>
      <c r="E987">
        <v>60</v>
      </c>
      <c r="F987">
        <v>3.53</v>
      </c>
      <c r="G987">
        <v>93</v>
      </c>
      <c r="H987" s="1">
        <v>45010.173611111109</v>
      </c>
      <c r="I987" s="1">
        <v>45010.215277777781</v>
      </c>
      <c r="J987" s="1">
        <v>45010.175000000003</v>
      </c>
      <c r="K987" s="1">
        <v>45010.216666666667</v>
      </c>
      <c r="L987" t="s">
        <v>16</v>
      </c>
      <c r="M987" t="s">
        <v>28</v>
      </c>
    </row>
    <row r="988" spans="1:13" x14ac:dyDescent="0.3">
      <c r="A988" t="s">
        <v>1016</v>
      </c>
      <c r="B988" t="s">
        <v>30</v>
      </c>
      <c r="C988" t="s">
        <v>27</v>
      </c>
      <c r="D988">
        <v>1.9</v>
      </c>
      <c r="E988">
        <v>120</v>
      </c>
      <c r="F988">
        <v>10.87</v>
      </c>
      <c r="G988">
        <v>97</v>
      </c>
      <c r="H988" s="1">
        <v>45010.180555555555</v>
      </c>
      <c r="I988" s="1">
        <v>45010.263888888891</v>
      </c>
      <c r="J988" s="1">
        <v>45010.179166666669</v>
      </c>
      <c r="K988" s="1">
        <v>45010.262499999997</v>
      </c>
      <c r="L988" t="s">
        <v>16</v>
      </c>
      <c r="M988" t="s">
        <v>20</v>
      </c>
    </row>
    <row r="989" spans="1:13" x14ac:dyDescent="0.3">
      <c r="A989" t="s">
        <v>1017</v>
      </c>
      <c r="B989" t="s">
        <v>22</v>
      </c>
      <c r="C989" t="s">
        <v>32</v>
      </c>
      <c r="D989">
        <v>3.38</v>
      </c>
      <c r="E989">
        <v>104</v>
      </c>
      <c r="F989">
        <v>8.83</v>
      </c>
      <c r="G989">
        <v>82</v>
      </c>
      <c r="H989" s="1">
        <v>45010.1875</v>
      </c>
      <c r="I989" s="1">
        <v>45010.259722222225</v>
      </c>
      <c r="J989" s="1">
        <v>45010.185416666667</v>
      </c>
      <c r="K989" s="1">
        <v>45010.257638888892</v>
      </c>
      <c r="L989" t="s">
        <v>16</v>
      </c>
      <c r="M989" t="s">
        <v>20</v>
      </c>
    </row>
    <row r="990" spans="1:13" x14ac:dyDescent="0.3">
      <c r="A990" t="s">
        <v>1018</v>
      </c>
      <c r="B990" t="s">
        <v>40</v>
      </c>
      <c r="C990" t="s">
        <v>32</v>
      </c>
      <c r="D990">
        <v>3.77</v>
      </c>
      <c r="E990">
        <v>89</v>
      </c>
      <c r="F990">
        <v>5.67</v>
      </c>
      <c r="G990">
        <v>98</v>
      </c>
      <c r="H990" s="1">
        <v>45010.194444444445</v>
      </c>
      <c r="I990" s="1">
        <v>45010.256249999999</v>
      </c>
      <c r="J990" s="1">
        <v>45010.191666666666</v>
      </c>
      <c r="K990" s="1">
        <v>45010.253472222219</v>
      </c>
      <c r="L990" t="s">
        <v>16</v>
      </c>
      <c r="M990" t="s">
        <v>20</v>
      </c>
    </row>
    <row r="991" spans="1:13" x14ac:dyDescent="0.3">
      <c r="A991" t="s">
        <v>1019</v>
      </c>
      <c r="B991" t="s">
        <v>40</v>
      </c>
      <c r="C991" t="s">
        <v>32</v>
      </c>
      <c r="D991">
        <v>1.62</v>
      </c>
      <c r="E991">
        <v>87</v>
      </c>
      <c r="F991">
        <v>12.82</v>
      </c>
      <c r="G991">
        <v>86</v>
      </c>
      <c r="H991" s="1">
        <v>45010.201388888891</v>
      </c>
      <c r="I991" s="1">
        <v>45010.261805555558</v>
      </c>
      <c r="J991" s="1">
        <v>45010.2</v>
      </c>
      <c r="K991" s="1">
        <v>45010.260416666664</v>
      </c>
      <c r="L991" t="s">
        <v>16</v>
      </c>
      <c r="M991" t="s">
        <v>20</v>
      </c>
    </row>
    <row r="992" spans="1:13" x14ac:dyDescent="0.3">
      <c r="A992" t="s">
        <v>1020</v>
      </c>
      <c r="B992" t="s">
        <v>30</v>
      </c>
      <c r="C992" t="s">
        <v>32</v>
      </c>
      <c r="D992">
        <v>3.05</v>
      </c>
      <c r="E992">
        <v>36</v>
      </c>
      <c r="F992">
        <v>6.33</v>
      </c>
      <c r="G992">
        <v>99</v>
      </c>
      <c r="H992" s="1">
        <v>45010.208333333336</v>
      </c>
      <c r="I992" s="1">
        <v>45010.23333333333</v>
      </c>
      <c r="J992" s="1">
        <v>45010.205555555556</v>
      </c>
      <c r="K992" s="1">
        <v>45010.230555555558</v>
      </c>
      <c r="L992" t="s">
        <v>16</v>
      </c>
      <c r="M992" t="s">
        <v>20</v>
      </c>
    </row>
    <row r="993" spans="1:13" x14ac:dyDescent="0.3">
      <c r="A993" t="s">
        <v>1021</v>
      </c>
      <c r="B993" t="s">
        <v>14</v>
      </c>
      <c r="C993" t="s">
        <v>15</v>
      </c>
      <c r="D993">
        <v>4.2699999999999996</v>
      </c>
      <c r="E993">
        <v>83</v>
      </c>
      <c r="F993">
        <v>6.7</v>
      </c>
      <c r="G993">
        <v>96</v>
      </c>
      <c r="H993" s="1">
        <v>45010.215277777781</v>
      </c>
      <c r="I993" s="1">
        <v>45010.272916666669</v>
      </c>
      <c r="J993" s="1">
        <v>45010.218055555553</v>
      </c>
      <c r="K993" s="1">
        <v>45010.275694444441</v>
      </c>
      <c r="L993" t="s">
        <v>16</v>
      </c>
      <c r="M993" t="s">
        <v>28</v>
      </c>
    </row>
    <row r="994" spans="1:13" x14ac:dyDescent="0.3">
      <c r="A994" t="s">
        <v>1022</v>
      </c>
      <c r="B994" t="s">
        <v>34</v>
      </c>
      <c r="C994" t="s">
        <v>27</v>
      </c>
      <c r="D994">
        <v>3.68</v>
      </c>
      <c r="E994">
        <v>105</v>
      </c>
      <c r="F994">
        <v>9.9499999999999993</v>
      </c>
      <c r="G994">
        <v>95</v>
      </c>
      <c r="H994" s="1">
        <v>45010.222222222219</v>
      </c>
      <c r="I994" s="1">
        <v>45010.295138888891</v>
      </c>
      <c r="J994" s="1">
        <v>45010.231249999997</v>
      </c>
      <c r="K994" s="1">
        <v>45010.304166666669</v>
      </c>
      <c r="L994" t="s">
        <v>19</v>
      </c>
      <c r="M994" t="s">
        <v>20</v>
      </c>
    </row>
    <row r="995" spans="1:13" x14ac:dyDescent="0.3">
      <c r="A995" t="s">
        <v>1023</v>
      </c>
      <c r="B995" t="s">
        <v>34</v>
      </c>
      <c r="C995" t="s">
        <v>32</v>
      </c>
      <c r="D995">
        <v>3.35</v>
      </c>
      <c r="E995">
        <v>94</v>
      </c>
      <c r="F995">
        <v>9.39</v>
      </c>
      <c r="G995">
        <v>89</v>
      </c>
      <c r="H995" s="1">
        <v>45010.229166666664</v>
      </c>
      <c r="I995" s="1">
        <v>45010.294444444444</v>
      </c>
      <c r="J995" s="1">
        <v>45010.227083333331</v>
      </c>
      <c r="K995" s="1">
        <v>45010.292361111111</v>
      </c>
      <c r="L995" t="s">
        <v>16</v>
      </c>
      <c r="M995" t="s">
        <v>20</v>
      </c>
    </row>
    <row r="996" spans="1:13" x14ac:dyDescent="0.3">
      <c r="A996" t="s">
        <v>1024</v>
      </c>
      <c r="B996" t="s">
        <v>40</v>
      </c>
      <c r="C996" t="s">
        <v>36</v>
      </c>
      <c r="D996">
        <v>4.37</v>
      </c>
      <c r="E996">
        <v>118</v>
      </c>
      <c r="F996">
        <v>14.12</v>
      </c>
      <c r="G996">
        <v>88</v>
      </c>
      <c r="H996" s="1">
        <v>45010.236111111109</v>
      </c>
      <c r="I996" s="1">
        <v>45010.318055555559</v>
      </c>
      <c r="L996" t="s">
        <v>24</v>
      </c>
      <c r="M996" t="s">
        <v>20</v>
      </c>
    </row>
    <row r="997" spans="1:13" x14ac:dyDescent="0.3">
      <c r="A997" t="s">
        <v>1025</v>
      </c>
      <c r="B997" t="s">
        <v>30</v>
      </c>
      <c r="C997" t="s">
        <v>32</v>
      </c>
      <c r="D997">
        <v>4.8600000000000003</v>
      </c>
      <c r="E997">
        <v>50</v>
      </c>
      <c r="F997">
        <v>3.71</v>
      </c>
      <c r="G997">
        <v>97</v>
      </c>
      <c r="H997" s="1">
        <v>45010.243055555555</v>
      </c>
      <c r="I997" s="1">
        <v>45010.277777777781</v>
      </c>
      <c r="L997" t="s">
        <v>24</v>
      </c>
      <c r="M997" t="s">
        <v>20</v>
      </c>
    </row>
    <row r="998" spans="1:13" x14ac:dyDescent="0.3">
      <c r="A998" t="s">
        <v>1026</v>
      </c>
      <c r="B998" t="s">
        <v>34</v>
      </c>
      <c r="C998" t="s">
        <v>27</v>
      </c>
      <c r="D998">
        <v>2.72</v>
      </c>
      <c r="E998">
        <v>60</v>
      </c>
      <c r="F998">
        <v>3.17</v>
      </c>
      <c r="G998">
        <v>96</v>
      </c>
      <c r="H998" s="1">
        <v>45010.25</v>
      </c>
      <c r="I998" s="1">
        <v>45010.291666666664</v>
      </c>
      <c r="L998" t="s">
        <v>24</v>
      </c>
      <c r="M998" t="s">
        <v>20</v>
      </c>
    </row>
    <row r="999" spans="1:13" x14ac:dyDescent="0.3">
      <c r="A999" t="s">
        <v>1027</v>
      </c>
      <c r="B999" t="s">
        <v>40</v>
      </c>
      <c r="C999" t="s">
        <v>27</v>
      </c>
      <c r="D999">
        <v>1.31</v>
      </c>
      <c r="E999">
        <v>102</v>
      </c>
      <c r="F999">
        <v>14.1</v>
      </c>
      <c r="G999">
        <v>83</v>
      </c>
      <c r="H999" s="1">
        <v>45010.256944444445</v>
      </c>
      <c r="I999" s="1">
        <v>45010.327777777777</v>
      </c>
      <c r="J999" s="1">
        <v>45010.260416666664</v>
      </c>
      <c r="K999" s="1">
        <v>45010.331250000003</v>
      </c>
      <c r="L999" t="s">
        <v>16</v>
      </c>
      <c r="M999" t="s">
        <v>17</v>
      </c>
    </row>
    <row r="1000" spans="1:13" x14ac:dyDescent="0.3">
      <c r="A1000" t="s">
        <v>1028</v>
      </c>
      <c r="B1000" t="s">
        <v>30</v>
      </c>
      <c r="C1000" t="s">
        <v>27</v>
      </c>
      <c r="D1000">
        <v>2.4</v>
      </c>
      <c r="E1000">
        <v>75</v>
      </c>
      <c r="F1000">
        <v>9.08</v>
      </c>
      <c r="G1000">
        <v>83</v>
      </c>
      <c r="H1000" s="1">
        <v>45010.263888888891</v>
      </c>
      <c r="I1000" s="1">
        <v>45010.315972222219</v>
      </c>
      <c r="J1000" s="1">
        <v>45010.26666666667</v>
      </c>
      <c r="K1000" s="1">
        <v>45010.318749999999</v>
      </c>
      <c r="L1000" t="s">
        <v>16</v>
      </c>
      <c r="M1000" t="s">
        <v>17</v>
      </c>
    </row>
    <row r="1001" spans="1:13" x14ac:dyDescent="0.3">
      <c r="A1001" t="s">
        <v>1029</v>
      </c>
      <c r="B1001" t="s">
        <v>34</v>
      </c>
      <c r="C1001" t="s">
        <v>23</v>
      </c>
      <c r="D1001">
        <v>1.32</v>
      </c>
      <c r="E1001">
        <v>111</v>
      </c>
      <c r="F1001">
        <v>3.88</v>
      </c>
      <c r="G1001">
        <v>91</v>
      </c>
      <c r="H1001" s="1">
        <v>45010.270833333336</v>
      </c>
      <c r="I1001" s="1">
        <v>45010.347916666666</v>
      </c>
      <c r="J1001" s="1">
        <v>45010.270138888889</v>
      </c>
      <c r="K1001" s="1">
        <v>45010.347222222219</v>
      </c>
      <c r="L1001" t="s">
        <v>16</v>
      </c>
      <c r="M100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0148-B73F-4800-A515-1761F01BBB53}">
  <dimension ref="A1:X1001"/>
  <sheetViews>
    <sheetView topLeftCell="A703" zoomScale="99" zoomScaleNormal="99" workbookViewId="0">
      <selection activeCell="M8" sqref="M8"/>
    </sheetView>
  </sheetViews>
  <sheetFormatPr defaultRowHeight="14.4" x14ac:dyDescent="0.3"/>
  <cols>
    <col min="2" max="2" width="13.6640625" customWidth="1"/>
    <col min="3" max="3" width="16" customWidth="1"/>
    <col min="4" max="4" width="10.21875" style="5" customWidth="1"/>
    <col min="5" max="5" width="10.5546875" style="7" customWidth="1"/>
    <col min="6" max="6" width="20.44140625" style="6" customWidth="1"/>
    <col min="7" max="7" width="20.33203125" customWidth="1"/>
    <col min="8" max="8" width="16.88671875" style="3" customWidth="1"/>
    <col min="9" max="9" width="15.88671875" style="3" customWidth="1"/>
    <col min="10" max="10" width="16.77734375" style="3" customWidth="1"/>
    <col min="11" max="11" width="16.88671875" style="3" customWidth="1"/>
    <col min="12" max="12" width="11.88671875" customWidth="1"/>
    <col min="13" max="13" width="22.21875" customWidth="1"/>
    <col min="14" max="14" width="8.88671875" customWidth="1"/>
  </cols>
  <sheetData>
    <row r="1" spans="1:24" ht="28.8" x14ac:dyDescent="0.3">
      <c r="A1" s="2" t="s">
        <v>1</v>
      </c>
      <c r="B1" s="2" t="s">
        <v>2</v>
      </c>
      <c r="C1" s="8" t="s">
        <v>3</v>
      </c>
      <c r="D1" s="9" t="s">
        <v>4</v>
      </c>
      <c r="E1" s="10" t="s">
        <v>5</v>
      </c>
      <c r="F1" s="2" t="s">
        <v>6</v>
      </c>
      <c r="G1" s="4" t="s">
        <v>7</v>
      </c>
      <c r="H1" s="3" t="s">
        <v>8</v>
      </c>
      <c r="I1" s="3" t="s">
        <v>9</v>
      </c>
      <c r="J1" s="3" t="s">
        <v>10</v>
      </c>
      <c r="K1" t="s">
        <v>11</v>
      </c>
      <c r="L1" t="s">
        <v>12</v>
      </c>
      <c r="M1" t="s">
        <v>1044</v>
      </c>
      <c r="N1" t="s">
        <v>1046</v>
      </c>
    </row>
    <row r="2" spans="1:24" x14ac:dyDescent="0.3">
      <c r="A2" t="s">
        <v>14</v>
      </c>
      <c r="B2" t="s">
        <v>15</v>
      </c>
      <c r="C2" s="5">
        <v>3.17</v>
      </c>
      <c r="D2" s="7">
        <v>76</v>
      </c>
      <c r="E2" s="6">
        <v>11.42</v>
      </c>
      <c r="F2">
        <v>96</v>
      </c>
      <c r="G2" s="4">
        <v>45003.333333333336</v>
      </c>
      <c r="H2" s="3">
        <v>45003.386111111111</v>
      </c>
      <c r="I2" s="3">
        <v>45003.336805555555</v>
      </c>
      <c r="J2" s="3">
        <v>45003.38958333333</v>
      </c>
      <c r="K2" t="s">
        <v>16</v>
      </c>
      <c r="L2" t="s">
        <v>17</v>
      </c>
      <c r="M2" t="str">
        <f>VLOOKUP(Table1[[#This Row],[Job_Status]],$V$2:$W$4,2,FALSE)</f>
        <v>Good</v>
      </c>
      <c r="N2" s="7">
        <f>VLOOKUP(Table1[[#This Row],[Job_Status]],$V$2:$X$4,3,FALSE)</f>
        <v>0</v>
      </c>
      <c r="V2" t="s">
        <v>16</v>
      </c>
      <c r="W2" t="s">
        <v>1045</v>
      </c>
      <c r="X2">
        <v>0</v>
      </c>
    </row>
    <row r="3" spans="1:24" x14ac:dyDescent="0.3">
      <c r="A3" t="s">
        <v>14</v>
      </c>
      <c r="B3" t="s">
        <v>15</v>
      </c>
      <c r="C3" s="5">
        <v>3.35</v>
      </c>
      <c r="D3" s="7">
        <v>79</v>
      </c>
      <c r="E3" s="6">
        <v>6.61</v>
      </c>
      <c r="F3">
        <v>84</v>
      </c>
      <c r="G3" s="3">
        <v>45003.340277777781</v>
      </c>
      <c r="H3" s="3">
        <v>45003.395138888889</v>
      </c>
      <c r="I3" s="3">
        <v>45003.347222222219</v>
      </c>
      <c r="J3" s="3">
        <v>45003.402083333334</v>
      </c>
      <c r="K3" t="s">
        <v>19</v>
      </c>
      <c r="L3" t="s">
        <v>20</v>
      </c>
      <c r="M3" t="str">
        <f>VLOOKUP(Table1[[#This Row],[Job_Status]],$V$2:$W$4,2,FALSE)</f>
        <v>Good</v>
      </c>
      <c r="N3" s="7">
        <f>VLOOKUP(Table1[[#This Row],[Job_Status]],$V$2:$X$4,3,FALSE)</f>
        <v>0</v>
      </c>
      <c r="V3" t="s">
        <v>19</v>
      </c>
      <c r="W3" t="s">
        <v>1045</v>
      </c>
      <c r="X3">
        <v>0</v>
      </c>
    </row>
    <row r="4" spans="1:24" x14ac:dyDescent="0.3">
      <c r="A4" t="s">
        <v>22</v>
      </c>
      <c r="B4" t="s">
        <v>23</v>
      </c>
      <c r="C4" s="5">
        <v>2.29</v>
      </c>
      <c r="D4" s="7">
        <v>56</v>
      </c>
      <c r="E4" s="6">
        <v>11.11</v>
      </c>
      <c r="F4">
        <v>92</v>
      </c>
      <c r="G4" s="3">
        <v>45003.347222222219</v>
      </c>
      <c r="H4" s="3">
        <v>45003.386111111111</v>
      </c>
      <c r="K4" t="s">
        <v>24</v>
      </c>
      <c r="L4" t="s">
        <v>20</v>
      </c>
      <c r="M4" t="str">
        <f>VLOOKUP(Table1[[#This Row],[Job_Status]],$V$2:$W$4,2,FALSE)</f>
        <v>Defect</v>
      </c>
      <c r="N4" s="7">
        <f>VLOOKUP(Table1[[#This Row],[Job_Status]],$V$2:$X$4,3,FALSE)</f>
        <v>100</v>
      </c>
      <c r="V4" t="s">
        <v>24</v>
      </c>
      <c r="W4" t="s">
        <v>1040</v>
      </c>
      <c r="X4">
        <v>100</v>
      </c>
    </row>
    <row r="5" spans="1:24" x14ac:dyDescent="0.3">
      <c r="A5" t="s">
        <v>22</v>
      </c>
      <c r="B5" t="s">
        <v>15</v>
      </c>
      <c r="C5" s="5">
        <v>1.76</v>
      </c>
      <c r="D5" s="7">
        <v>106</v>
      </c>
      <c r="E5" s="6">
        <v>12.5</v>
      </c>
      <c r="F5">
        <v>95</v>
      </c>
      <c r="G5" s="3">
        <v>45003.354166666664</v>
      </c>
      <c r="H5" s="3">
        <v>45003.427777777775</v>
      </c>
      <c r="I5" s="3">
        <v>45003.357638888891</v>
      </c>
      <c r="J5" s="3">
        <v>45003.431250000001</v>
      </c>
      <c r="K5" t="s">
        <v>16</v>
      </c>
      <c r="L5" t="s">
        <v>17</v>
      </c>
      <c r="M5" t="str">
        <f>VLOOKUP(Table1[[#This Row],[Job_Status]],$V$2:$W$4,2,FALSE)</f>
        <v>Good</v>
      </c>
      <c r="N5" s="7">
        <f>VLOOKUP(Table1[[#This Row],[Job_Status]],$V$2:$X$4,3,FALSE)</f>
        <v>0</v>
      </c>
    </row>
    <row r="6" spans="1:24" x14ac:dyDescent="0.3">
      <c r="A6" t="s">
        <v>14</v>
      </c>
      <c r="B6" t="s">
        <v>27</v>
      </c>
      <c r="C6" s="5">
        <v>1.9</v>
      </c>
      <c r="D6" s="7">
        <v>46</v>
      </c>
      <c r="E6" s="6">
        <v>8.1300000000000008</v>
      </c>
      <c r="F6">
        <v>88</v>
      </c>
      <c r="G6" s="3">
        <v>45003.361111111109</v>
      </c>
      <c r="H6" s="3">
        <v>45003.393055555556</v>
      </c>
      <c r="I6" s="3">
        <v>45003.362500000003</v>
      </c>
      <c r="J6" s="3">
        <v>45003.394444444442</v>
      </c>
      <c r="K6" t="s">
        <v>16</v>
      </c>
      <c r="L6" t="s">
        <v>28</v>
      </c>
      <c r="M6" t="str">
        <f>VLOOKUP(Table1[[#This Row],[Job_Status]],$V$2:$W$4,2,FALSE)</f>
        <v>Good</v>
      </c>
      <c r="N6" s="7">
        <f>VLOOKUP(Table1[[#This Row],[Job_Status]],$V$2:$X$4,3,FALSE)</f>
        <v>0</v>
      </c>
    </row>
    <row r="7" spans="1:24" x14ac:dyDescent="0.3">
      <c r="A7" t="s">
        <v>30</v>
      </c>
      <c r="B7" t="s">
        <v>23</v>
      </c>
      <c r="C7" s="5">
        <v>4.8600000000000003</v>
      </c>
      <c r="D7" s="7">
        <v>100</v>
      </c>
      <c r="E7" s="6">
        <v>13.83</v>
      </c>
      <c r="F7">
        <v>86</v>
      </c>
      <c r="G7" s="3">
        <v>45003.368055555555</v>
      </c>
      <c r="H7" s="3">
        <v>45003.4375</v>
      </c>
      <c r="I7" s="3">
        <v>45003.370138888888</v>
      </c>
      <c r="J7" s="3">
        <v>45003.439583333333</v>
      </c>
      <c r="K7" t="s">
        <v>16</v>
      </c>
      <c r="L7" t="s">
        <v>17</v>
      </c>
      <c r="M7" t="str">
        <f>VLOOKUP(Table1[[#This Row],[Job_Status]],$V$2:$W$4,2,FALSE)</f>
        <v>Good</v>
      </c>
      <c r="N7" s="7">
        <f>VLOOKUP(Table1[[#This Row],[Job_Status]],$V$2:$X$4,3,FALSE)</f>
        <v>0</v>
      </c>
    </row>
    <row r="8" spans="1:24" x14ac:dyDescent="0.3">
      <c r="A8" t="s">
        <v>22</v>
      </c>
      <c r="B8" t="s">
        <v>32</v>
      </c>
      <c r="C8" s="5">
        <v>4.67</v>
      </c>
      <c r="D8" s="7">
        <v>22</v>
      </c>
      <c r="E8" s="6">
        <v>14.2</v>
      </c>
      <c r="F8">
        <v>87</v>
      </c>
      <c r="G8" s="3">
        <v>45003.375</v>
      </c>
      <c r="H8" s="3">
        <v>45003.390277777777</v>
      </c>
      <c r="I8" s="3">
        <v>45003.37777777778</v>
      </c>
      <c r="J8" s="3">
        <v>45003.393055555556</v>
      </c>
      <c r="K8" t="s">
        <v>16</v>
      </c>
      <c r="L8" t="s">
        <v>17</v>
      </c>
      <c r="M8" t="str">
        <f>VLOOKUP(Table1[[#This Row],[Job_Status]],$V$2:$W$4,2,FALSE)</f>
        <v>Good</v>
      </c>
      <c r="N8" s="7">
        <f>VLOOKUP(Table1[[#This Row],[Job_Status]],$V$2:$X$4,3,FALSE)</f>
        <v>0</v>
      </c>
    </row>
    <row r="9" spans="1:24" x14ac:dyDescent="0.3">
      <c r="A9" t="s">
        <v>34</v>
      </c>
      <c r="B9" t="s">
        <v>15</v>
      </c>
      <c r="C9" s="5">
        <v>1.57</v>
      </c>
      <c r="D9" s="7">
        <v>79</v>
      </c>
      <c r="E9" s="6">
        <v>13.86</v>
      </c>
      <c r="F9">
        <v>91</v>
      </c>
      <c r="G9" s="3">
        <v>45003.381944444445</v>
      </c>
      <c r="H9" s="3">
        <v>45003.436805555553</v>
      </c>
      <c r="I9" s="3">
        <v>45003.380555555559</v>
      </c>
      <c r="J9" s="3">
        <v>45003.435416666667</v>
      </c>
      <c r="K9" t="s">
        <v>16</v>
      </c>
      <c r="L9" t="s">
        <v>20</v>
      </c>
      <c r="M9" t="str">
        <f>VLOOKUP(Table1[[#This Row],[Job_Status]],$V$2:$W$4,2,FALSE)</f>
        <v>Good</v>
      </c>
      <c r="N9" s="7">
        <f>VLOOKUP(Table1[[#This Row],[Job_Status]],$V$2:$X$4,3,FALSE)</f>
        <v>0</v>
      </c>
    </row>
    <row r="10" spans="1:24" x14ac:dyDescent="0.3">
      <c r="A10" t="s">
        <v>30</v>
      </c>
      <c r="B10" t="s">
        <v>36</v>
      </c>
      <c r="C10" s="5">
        <v>3.49</v>
      </c>
      <c r="D10" s="7">
        <v>42</v>
      </c>
      <c r="E10" s="6">
        <v>8.9700000000000006</v>
      </c>
      <c r="F10">
        <v>81</v>
      </c>
      <c r="G10" s="3">
        <v>45003.388888888891</v>
      </c>
      <c r="H10" s="3">
        <v>45003.418055555558</v>
      </c>
      <c r="I10" s="3">
        <v>45003.390972222223</v>
      </c>
      <c r="J10" s="3">
        <v>45003.420138888891</v>
      </c>
      <c r="K10" t="s">
        <v>16</v>
      </c>
      <c r="L10" t="s">
        <v>17</v>
      </c>
      <c r="M10" t="str">
        <f>VLOOKUP(Table1[[#This Row],[Job_Status]],$V$2:$W$4,2,FALSE)</f>
        <v>Good</v>
      </c>
      <c r="N10" s="7">
        <f>VLOOKUP(Table1[[#This Row],[Job_Status]],$V$2:$X$4,3,FALSE)</f>
        <v>0</v>
      </c>
    </row>
    <row r="11" spans="1:24" x14ac:dyDescent="0.3">
      <c r="A11" t="s">
        <v>14</v>
      </c>
      <c r="B11" t="s">
        <v>36</v>
      </c>
      <c r="C11" s="5">
        <v>2.1</v>
      </c>
      <c r="D11" s="7">
        <v>27</v>
      </c>
      <c r="E11" s="6">
        <v>3.66</v>
      </c>
      <c r="F11">
        <v>97</v>
      </c>
      <c r="G11" s="3">
        <v>45003.395833333336</v>
      </c>
      <c r="H11" s="3">
        <v>45003.414583333331</v>
      </c>
      <c r="I11" s="3">
        <v>45003.412499999999</v>
      </c>
      <c r="J11" s="3">
        <v>45003.431250000001</v>
      </c>
      <c r="K11" t="s">
        <v>19</v>
      </c>
      <c r="L11" t="s">
        <v>20</v>
      </c>
      <c r="M11" t="str">
        <f>VLOOKUP(Table1[[#This Row],[Job_Status]],$V$2:$W$4,2,FALSE)</f>
        <v>Good</v>
      </c>
      <c r="N11" s="7">
        <f>VLOOKUP(Table1[[#This Row],[Job_Status]],$V$2:$X$4,3,FALSE)</f>
        <v>0</v>
      </c>
    </row>
    <row r="12" spans="1:24" x14ac:dyDescent="0.3">
      <c r="A12" t="s">
        <v>14</v>
      </c>
      <c r="B12" t="s">
        <v>27</v>
      </c>
      <c r="C12" s="5">
        <v>3.02</v>
      </c>
      <c r="D12" s="7">
        <v>65</v>
      </c>
      <c r="E12" s="6">
        <v>9.98</v>
      </c>
      <c r="F12">
        <v>90</v>
      </c>
      <c r="G12" s="3">
        <v>45003.402777777781</v>
      </c>
      <c r="H12" s="3">
        <v>45003.447916666664</v>
      </c>
      <c r="I12" s="3">
        <v>45003.401388888888</v>
      </c>
      <c r="J12" s="3">
        <v>45003.446527777778</v>
      </c>
      <c r="K12" t="s">
        <v>16</v>
      </c>
      <c r="L12" t="s">
        <v>20</v>
      </c>
      <c r="M12" t="str">
        <f>VLOOKUP(Table1[[#This Row],[Job_Status]],$V$2:$W$4,2,FALSE)</f>
        <v>Good</v>
      </c>
      <c r="N12" s="7">
        <f>VLOOKUP(Table1[[#This Row],[Job_Status]],$V$2:$X$4,3,FALSE)</f>
        <v>0</v>
      </c>
    </row>
    <row r="13" spans="1:24" x14ac:dyDescent="0.3">
      <c r="A13" t="s">
        <v>40</v>
      </c>
      <c r="B13" t="s">
        <v>15</v>
      </c>
      <c r="C13" s="5">
        <v>2.71</v>
      </c>
      <c r="D13" s="7">
        <v>28</v>
      </c>
      <c r="E13" s="6">
        <v>8.08</v>
      </c>
      <c r="F13">
        <v>88</v>
      </c>
      <c r="G13" s="3">
        <v>45003.409722222219</v>
      </c>
      <c r="H13" s="3">
        <v>45003.429166666669</v>
      </c>
      <c r="I13" s="3">
        <v>45003.427083333336</v>
      </c>
      <c r="J13" s="3">
        <v>45003.446527777778</v>
      </c>
      <c r="K13" t="s">
        <v>19</v>
      </c>
      <c r="L13" t="s">
        <v>20</v>
      </c>
      <c r="M13" t="str">
        <f>VLOOKUP(Table1[[#This Row],[Job_Status]],$V$2:$W$4,2,FALSE)</f>
        <v>Good</v>
      </c>
      <c r="N13" s="7">
        <f>VLOOKUP(Table1[[#This Row],[Job_Status]],$V$2:$X$4,3,FALSE)</f>
        <v>0</v>
      </c>
    </row>
    <row r="14" spans="1:24" x14ac:dyDescent="0.3">
      <c r="A14" t="s">
        <v>40</v>
      </c>
      <c r="B14" t="s">
        <v>27</v>
      </c>
      <c r="C14" s="5">
        <v>3.1</v>
      </c>
      <c r="D14" s="7">
        <v>43</v>
      </c>
      <c r="E14" s="6">
        <v>5.55</v>
      </c>
      <c r="F14">
        <v>95</v>
      </c>
      <c r="G14" s="3">
        <v>45003.416666666664</v>
      </c>
      <c r="H14" s="3">
        <v>45003.446527777778</v>
      </c>
      <c r="I14" s="3">
        <v>45003.420138888891</v>
      </c>
      <c r="J14" s="3">
        <v>45003.45</v>
      </c>
      <c r="K14" t="s">
        <v>16</v>
      </c>
      <c r="L14" t="s">
        <v>28</v>
      </c>
      <c r="M14" t="str">
        <f>VLOOKUP(Table1[[#This Row],[Job_Status]],$V$2:$W$4,2,FALSE)</f>
        <v>Good</v>
      </c>
      <c r="N14" s="7">
        <f>VLOOKUP(Table1[[#This Row],[Job_Status]],$V$2:$X$4,3,FALSE)</f>
        <v>0</v>
      </c>
    </row>
    <row r="15" spans="1:24" x14ac:dyDescent="0.3">
      <c r="A15" t="s">
        <v>22</v>
      </c>
      <c r="B15" t="s">
        <v>23</v>
      </c>
      <c r="C15" s="5">
        <v>2.33</v>
      </c>
      <c r="D15" s="7">
        <v>112</v>
      </c>
      <c r="E15" s="6">
        <v>2.0099999999999998</v>
      </c>
      <c r="F15">
        <v>95</v>
      </c>
      <c r="G15" s="3">
        <v>45003.423611111109</v>
      </c>
      <c r="H15" s="3">
        <v>45003.501388888886</v>
      </c>
      <c r="I15" s="3">
        <v>45003.423611111109</v>
      </c>
      <c r="J15" s="3">
        <v>45003.501388888886</v>
      </c>
      <c r="K15" t="s">
        <v>16</v>
      </c>
      <c r="L15" t="s">
        <v>43</v>
      </c>
      <c r="M15" t="str">
        <f>VLOOKUP(Table1[[#This Row],[Job_Status]],$V$2:$W$4,2,FALSE)</f>
        <v>Good</v>
      </c>
      <c r="N15" s="7">
        <f>VLOOKUP(Table1[[#This Row],[Job_Status]],$V$2:$X$4,3,FALSE)</f>
        <v>0</v>
      </c>
    </row>
    <row r="16" spans="1:24" x14ac:dyDescent="0.3">
      <c r="A16" t="s">
        <v>34</v>
      </c>
      <c r="B16" t="s">
        <v>23</v>
      </c>
      <c r="C16" s="5">
        <v>3.92</v>
      </c>
      <c r="D16" s="7">
        <v>104</v>
      </c>
      <c r="E16" s="6">
        <v>3.67</v>
      </c>
      <c r="F16">
        <v>98</v>
      </c>
      <c r="G16" s="3">
        <v>45003.430555555555</v>
      </c>
      <c r="H16" s="3">
        <v>45003.50277777778</v>
      </c>
      <c r="I16" s="3">
        <v>45003.433333333334</v>
      </c>
      <c r="J16" s="3">
        <v>45003.505555555559</v>
      </c>
      <c r="K16" t="s">
        <v>16</v>
      </c>
      <c r="L16" t="s">
        <v>28</v>
      </c>
      <c r="M16" t="str">
        <f>VLOOKUP(Table1[[#This Row],[Job_Status]],$V$2:$W$4,2,FALSE)</f>
        <v>Good</v>
      </c>
      <c r="N16" s="7">
        <f>VLOOKUP(Table1[[#This Row],[Job_Status]],$V$2:$X$4,3,FALSE)</f>
        <v>0</v>
      </c>
    </row>
    <row r="17" spans="1:14" x14ac:dyDescent="0.3">
      <c r="A17" t="s">
        <v>14</v>
      </c>
      <c r="B17" t="s">
        <v>23</v>
      </c>
      <c r="C17" s="5">
        <v>2.09</v>
      </c>
      <c r="D17" s="7">
        <v>65</v>
      </c>
      <c r="E17" s="6">
        <v>12.29</v>
      </c>
      <c r="F17">
        <v>96</v>
      </c>
      <c r="G17" s="3">
        <v>45003.4375</v>
      </c>
      <c r="H17" s="3">
        <v>45003.482638888891</v>
      </c>
      <c r="I17" s="3">
        <v>45003.436111111114</v>
      </c>
      <c r="J17" s="3">
        <v>45003.481249999997</v>
      </c>
      <c r="K17" t="s">
        <v>16</v>
      </c>
      <c r="L17" t="s">
        <v>20</v>
      </c>
      <c r="M17" t="str">
        <f>VLOOKUP(Table1[[#This Row],[Job_Status]],$V$2:$W$4,2,FALSE)</f>
        <v>Good</v>
      </c>
      <c r="N17" s="7">
        <f>VLOOKUP(Table1[[#This Row],[Job_Status]],$V$2:$X$4,3,FALSE)</f>
        <v>0</v>
      </c>
    </row>
    <row r="18" spans="1:14" x14ac:dyDescent="0.3">
      <c r="A18" t="s">
        <v>40</v>
      </c>
      <c r="B18" t="s">
        <v>27</v>
      </c>
      <c r="C18" s="5">
        <v>4.3</v>
      </c>
      <c r="D18" s="7">
        <v>115</v>
      </c>
      <c r="E18" s="6">
        <v>9.44</v>
      </c>
      <c r="F18">
        <v>80</v>
      </c>
      <c r="G18" s="3">
        <v>45003.444444444445</v>
      </c>
      <c r="H18" s="3">
        <v>45003.524305555555</v>
      </c>
      <c r="I18" s="3">
        <v>45003.442361111112</v>
      </c>
      <c r="J18" s="3">
        <v>45003.522222222222</v>
      </c>
      <c r="K18" t="s">
        <v>16</v>
      </c>
      <c r="L18" t="s">
        <v>20</v>
      </c>
      <c r="M18" t="str">
        <f>VLOOKUP(Table1[[#This Row],[Job_Status]],$V$2:$W$4,2,FALSE)</f>
        <v>Good</v>
      </c>
      <c r="N18" s="7">
        <f>VLOOKUP(Table1[[#This Row],[Job_Status]],$V$2:$X$4,3,FALSE)</f>
        <v>0</v>
      </c>
    </row>
    <row r="19" spans="1:14" x14ac:dyDescent="0.3">
      <c r="A19" t="s">
        <v>34</v>
      </c>
      <c r="B19" t="s">
        <v>27</v>
      </c>
      <c r="C19" s="5">
        <v>2.25</v>
      </c>
      <c r="D19" s="7">
        <v>55</v>
      </c>
      <c r="E19" s="6">
        <v>10.95</v>
      </c>
      <c r="F19">
        <v>94</v>
      </c>
      <c r="G19" s="3">
        <v>45003.451388888891</v>
      </c>
      <c r="H19" s="3">
        <v>45003.489583333336</v>
      </c>
      <c r="I19" s="3">
        <v>45003.45</v>
      </c>
      <c r="J19" s="3">
        <v>45003.488194444442</v>
      </c>
      <c r="K19" t="s">
        <v>16</v>
      </c>
      <c r="L19" t="s">
        <v>20</v>
      </c>
      <c r="M19" t="str">
        <f>VLOOKUP(Table1[[#This Row],[Job_Status]],$V$2:$W$4,2,FALSE)</f>
        <v>Good</v>
      </c>
      <c r="N19" s="7">
        <f>VLOOKUP(Table1[[#This Row],[Job_Status]],$V$2:$X$4,3,FALSE)</f>
        <v>0</v>
      </c>
    </row>
    <row r="20" spans="1:14" x14ac:dyDescent="0.3">
      <c r="A20" t="s">
        <v>30</v>
      </c>
      <c r="B20" t="s">
        <v>32</v>
      </c>
      <c r="C20" s="5">
        <v>4.62</v>
      </c>
      <c r="D20" s="7">
        <v>52</v>
      </c>
      <c r="E20" s="6">
        <v>3.27</v>
      </c>
      <c r="F20">
        <v>82</v>
      </c>
      <c r="G20" s="3">
        <v>45003.458333333336</v>
      </c>
      <c r="H20" s="3">
        <v>45003.494444444441</v>
      </c>
      <c r="I20" s="3">
        <v>45003.456944444442</v>
      </c>
      <c r="J20" s="3">
        <v>45003.493055555555</v>
      </c>
      <c r="K20" t="s">
        <v>16</v>
      </c>
      <c r="L20" t="s">
        <v>20</v>
      </c>
      <c r="M20" t="str">
        <f>VLOOKUP(Table1[[#This Row],[Job_Status]],$V$2:$W$4,2,FALSE)</f>
        <v>Good</v>
      </c>
      <c r="N20" s="7">
        <f>VLOOKUP(Table1[[#This Row],[Job_Status]],$V$2:$X$4,3,FALSE)</f>
        <v>0</v>
      </c>
    </row>
    <row r="21" spans="1:14" x14ac:dyDescent="0.3">
      <c r="A21" t="s">
        <v>34</v>
      </c>
      <c r="B21" t="s">
        <v>27</v>
      </c>
      <c r="C21" s="5">
        <v>1.39</v>
      </c>
      <c r="D21" s="7">
        <v>42</v>
      </c>
      <c r="E21" s="6">
        <v>14.19</v>
      </c>
      <c r="F21">
        <v>91</v>
      </c>
      <c r="G21" s="3">
        <v>45003.465277777781</v>
      </c>
      <c r="H21" s="3">
        <v>45003.494444444441</v>
      </c>
      <c r="I21" s="3">
        <v>45003.46875</v>
      </c>
      <c r="J21" s="3">
        <v>45003.497916666667</v>
      </c>
      <c r="K21" t="s">
        <v>16</v>
      </c>
      <c r="L21" t="s">
        <v>17</v>
      </c>
      <c r="M21" t="str">
        <f>VLOOKUP(Table1[[#This Row],[Job_Status]],$V$2:$W$4,2,FALSE)</f>
        <v>Good</v>
      </c>
      <c r="N21" s="7">
        <f>VLOOKUP(Table1[[#This Row],[Job_Status]],$V$2:$X$4,3,FALSE)</f>
        <v>0</v>
      </c>
    </row>
    <row r="22" spans="1:14" x14ac:dyDescent="0.3">
      <c r="A22" t="s">
        <v>30</v>
      </c>
      <c r="B22" t="s">
        <v>32</v>
      </c>
      <c r="C22" s="5">
        <v>3.95</v>
      </c>
      <c r="D22" s="7">
        <v>107</v>
      </c>
      <c r="E22" s="6">
        <v>13.73</v>
      </c>
      <c r="F22">
        <v>83</v>
      </c>
      <c r="G22" s="3">
        <v>45003.472222222219</v>
      </c>
      <c r="H22" s="3">
        <v>45003.546527777777</v>
      </c>
      <c r="I22" s="3">
        <v>45003.46875</v>
      </c>
      <c r="J22" s="3">
        <v>45003.543055555558</v>
      </c>
      <c r="K22" t="s">
        <v>16</v>
      </c>
      <c r="L22" t="s">
        <v>20</v>
      </c>
      <c r="M22" t="str">
        <f>VLOOKUP(Table1[[#This Row],[Job_Status]],$V$2:$W$4,2,FALSE)</f>
        <v>Good</v>
      </c>
      <c r="N22" s="7">
        <f>VLOOKUP(Table1[[#This Row],[Job_Status]],$V$2:$X$4,3,FALSE)</f>
        <v>0</v>
      </c>
    </row>
    <row r="23" spans="1:14" x14ac:dyDescent="0.3">
      <c r="A23" t="s">
        <v>40</v>
      </c>
      <c r="B23" t="s">
        <v>23</v>
      </c>
      <c r="C23" s="5">
        <v>3.3</v>
      </c>
      <c r="D23" s="7">
        <v>64</v>
      </c>
      <c r="E23" s="6">
        <v>4.1399999999999997</v>
      </c>
      <c r="F23">
        <v>93</v>
      </c>
      <c r="G23" s="3">
        <v>45003.479166666664</v>
      </c>
      <c r="H23" s="3">
        <v>45003.523611111108</v>
      </c>
      <c r="I23" s="3">
        <v>45003.488888888889</v>
      </c>
      <c r="J23" s="3">
        <v>45003.533333333333</v>
      </c>
      <c r="K23" t="s">
        <v>19</v>
      </c>
      <c r="L23" t="s">
        <v>20</v>
      </c>
      <c r="M23" t="str">
        <f>VLOOKUP(Table1[[#This Row],[Job_Status]],$V$2:$W$4,2,FALSE)</f>
        <v>Good</v>
      </c>
      <c r="N23" s="7">
        <f>VLOOKUP(Table1[[#This Row],[Job_Status]],$V$2:$X$4,3,FALSE)</f>
        <v>0</v>
      </c>
    </row>
    <row r="24" spans="1:14" x14ac:dyDescent="0.3">
      <c r="A24" t="s">
        <v>14</v>
      </c>
      <c r="B24" t="s">
        <v>36</v>
      </c>
      <c r="C24" s="5">
        <v>4.8600000000000003</v>
      </c>
      <c r="D24" s="7">
        <v>98</v>
      </c>
      <c r="E24" s="6">
        <v>13.49</v>
      </c>
      <c r="F24">
        <v>89</v>
      </c>
      <c r="G24" s="3">
        <v>45003.486111111109</v>
      </c>
      <c r="H24" s="3">
        <v>45003.554166666669</v>
      </c>
      <c r="I24" s="3">
        <v>45003.482638888891</v>
      </c>
      <c r="J24" s="3">
        <v>45003.550694444442</v>
      </c>
      <c r="K24" t="s">
        <v>16</v>
      </c>
      <c r="L24" t="s">
        <v>20</v>
      </c>
      <c r="M24" t="str">
        <f>VLOOKUP(Table1[[#This Row],[Job_Status]],$V$2:$W$4,2,FALSE)</f>
        <v>Good</v>
      </c>
      <c r="N24" s="7">
        <f>VLOOKUP(Table1[[#This Row],[Job_Status]],$V$2:$X$4,3,FALSE)</f>
        <v>0</v>
      </c>
    </row>
    <row r="25" spans="1:14" x14ac:dyDescent="0.3">
      <c r="A25" t="s">
        <v>30</v>
      </c>
      <c r="B25" t="s">
        <v>15</v>
      </c>
      <c r="C25" s="5">
        <v>1.84</v>
      </c>
      <c r="D25" s="7">
        <v>84</v>
      </c>
      <c r="E25" s="6">
        <v>8.81</v>
      </c>
      <c r="F25">
        <v>98</v>
      </c>
      <c r="G25" s="3">
        <v>45003.493055555555</v>
      </c>
      <c r="H25" s="3">
        <v>45003.551388888889</v>
      </c>
      <c r="I25" s="3">
        <v>45003.509027777778</v>
      </c>
      <c r="J25" s="3">
        <v>45003.567361111112</v>
      </c>
      <c r="K25" t="s">
        <v>19</v>
      </c>
      <c r="L25" t="s">
        <v>20</v>
      </c>
      <c r="M25" t="str">
        <f>VLOOKUP(Table1[[#This Row],[Job_Status]],$V$2:$W$4,2,FALSE)</f>
        <v>Good</v>
      </c>
      <c r="N25" s="7">
        <f>VLOOKUP(Table1[[#This Row],[Job_Status]],$V$2:$X$4,3,FALSE)</f>
        <v>0</v>
      </c>
    </row>
    <row r="26" spans="1:14" x14ac:dyDescent="0.3">
      <c r="A26" t="s">
        <v>22</v>
      </c>
      <c r="B26" t="s">
        <v>27</v>
      </c>
      <c r="C26" s="5">
        <v>1.84</v>
      </c>
      <c r="D26" s="7">
        <v>119</v>
      </c>
      <c r="E26" s="6">
        <v>5.0999999999999996</v>
      </c>
      <c r="F26">
        <v>82</v>
      </c>
      <c r="G26" s="3">
        <v>45003.5</v>
      </c>
      <c r="H26" s="3">
        <v>45003.582638888889</v>
      </c>
      <c r="K26" t="s">
        <v>24</v>
      </c>
      <c r="L26" t="s">
        <v>20</v>
      </c>
      <c r="M26" t="str">
        <f>VLOOKUP(Table1[[#This Row],[Job_Status]],$V$2:$W$4,2,FALSE)</f>
        <v>Defect</v>
      </c>
      <c r="N26" s="7">
        <f>VLOOKUP(Table1[[#This Row],[Job_Status]],$V$2:$X$4,3,FALSE)</f>
        <v>100</v>
      </c>
    </row>
    <row r="27" spans="1:14" x14ac:dyDescent="0.3">
      <c r="A27" t="s">
        <v>14</v>
      </c>
      <c r="B27" t="s">
        <v>23</v>
      </c>
      <c r="C27" s="5">
        <v>1.1399999999999999</v>
      </c>
      <c r="D27" s="7">
        <v>21</v>
      </c>
      <c r="E27" s="6">
        <v>3.89</v>
      </c>
      <c r="F27">
        <v>97</v>
      </c>
      <c r="G27" s="3">
        <v>45003.506944444445</v>
      </c>
      <c r="H27" s="3">
        <v>45003.521527777775</v>
      </c>
      <c r="I27" s="3">
        <v>45003.506944444445</v>
      </c>
      <c r="J27" s="3">
        <v>45003.521527777775</v>
      </c>
      <c r="K27" t="s">
        <v>16</v>
      </c>
      <c r="L27" t="s">
        <v>28</v>
      </c>
      <c r="M27" t="str">
        <f>VLOOKUP(Table1[[#This Row],[Job_Status]],$V$2:$W$4,2,FALSE)</f>
        <v>Good</v>
      </c>
      <c r="N27" s="7">
        <f>VLOOKUP(Table1[[#This Row],[Job_Status]],$V$2:$X$4,3,FALSE)</f>
        <v>0</v>
      </c>
    </row>
    <row r="28" spans="1:14" x14ac:dyDescent="0.3">
      <c r="A28" t="s">
        <v>40</v>
      </c>
      <c r="B28" t="s">
        <v>27</v>
      </c>
      <c r="C28" s="5">
        <v>4.03</v>
      </c>
      <c r="D28" s="7">
        <v>87</v>
      </c>
      <c r="E28" s="6">
        <v>11.34</v>
      </c>
      <c r="F28">
        <v>80</v>
      </c>
      <c r="G28" s="3">
        <v>45003.513888888891</v>
      </c>
      <c r="H28" s="3">
        <v>45003.574305555558</v>
      </c>
      <c r="K28" t="s">
        <v>24</v>
      </c>
      <c r="L28" t="s">
        <v>20</v>
      </c>
      <c r="M28" t="str">
        <f>VLOOKUP(Table1[[#This Row],[Job_Status]],$V$2:$W$4,2,FALSE)</f>
        <v>Defect</v>
      </c>
      <c r="N28" s="7">
        <f>VLOOKUP(Table1[[#This Row],[Job_Status]],$V$2:$X$4,3,FALSE)</f>
        <v>100</v>
      </c>
    </row>
    <row r="29" spans="1:14" x14ac:dyDescent="0.3">
      <c r="A29" t="s">
        <v>40</v>
      </c>
      <c r="B29" t="s">
        <v>32</v>
      </c>
      <c r="C29" s="5">
        <v>3.21</v>
      </c>
      <c r="D29" s="7">
        <v>93</v>
      </c>
      <c r="E29" s="6">
        <v>4.16</v>
      </c>
      <c r="F29">
        <v>98</v>
      </c>
      <c r="G29" s="3">
        <v>45003.520833333336</v>
      </c>
      <c r="H29" s="3">
        <v>45003.585416666669</v>
      </c>
      <c r="I29" s="3">
        <v>45003.519444444442</v>
      </c>
      <c r="J29" s="3">
        <v>45003.584027777775</v>
      </c>
      <c r="K29" t="s">
        <v>16</v>
      </c>
      <c r="L29" t="s">
        <v>20</v>
      </c>
      <c r="M29" t="str">
        <f>VLOOKUP(Table1[[#This Row],[Job_Status]],$V$2:$W$4,2,FALSE)</f>
        <v>Good</v>
      </c>
      <c r="N29" s="7">
        <f>VLOOKUP(Table1[[#This Row],[Job_Status]],$V$2:$X$4,3,FALSE)</f>
        <v>0</v>
      </c>
    </row>
    <row r="30" spans="1:14" x14ac:dyDescent="0.3">
      <c r="A30" t="s">
        <v>30</v>
      </c>
      <c r="B30" t="s">
        <v>32</v>
      </c>
      <c r="C30" s="5">
        <v>3.47</v>
      </c>
      <c r="D30" s="7">
        <v>116</v>
      </c>
      <c r="E30" s="6">
        <v>5.39</v>
      </c>
      <c r="F30">
        <v>91</v>
      </c>
      <c r="G30" s="3">
        <v>45003.527777777781</v>
      </c>
      <c r="H30" s="3">
        <v>45003.60833333333</v>
      </c>
      <c r="I30" s="3">
        <v>45003.527083333334</v>
      </c>
      <c r="J30" s="3">
        <v>45003.607638888891</v>
      </c>
      <c r="K30" t="s">
        <v>16</v>
      </c>
      <c r="L30" t="s">
        <v>20</v>
      </c>
      <c r="M30" t="str">
        <f>VLOOKUP(Table1[[#This Row],[Job_Status]],$V$2:$W$4,2,FALSE)</f>
        <v>Good</v>
      </c>
      <c r="N30" s="7">
        <f>VLOOKUP(Table1[[#This Row],[Job_Status]],$V$2:$X$4,3,FALSE)</f>
        <v>0</v>
      </c>
    </row>
    <row r="31" spans="1:14" x14ac:dyDescent="0.3">
      <c r="A31" t="s">
        <v>34</v>
      </c>
      <c r="B31" t="s">
        <v>15</v>
      </c>
      <c r="C31" s="5">
        <v>4.62</v>
      </c>
      <c r="D31" s="7">
        <v>66</v>
      </c>
      <c r="E31" s="6">
        <v>10.36</v>
      </c>
      <c r="F31">
        <v>89</v>
      </c>
      <c r="G31" s="3">
        <v>45003.534722222219</v>
      </c>
      <c r="H31" s="3">
        <v>45003.580555555556</v>
      </c>
      <c r="I31" s="3">
        <v>45003.535416666666</v>
      </c>
      <c r="J31" s="3">
        <v>45003.581250000003</v>
      </c>
      <c r="K31" t="s">
        <v>16</v>
      </c>
      <c r="L31" t="s">
        <v>17</v>
      </c>
      <c r="M31" t="str">
        <f>VLOOKUP(Table1[[#This Row],[Job_Status]],$V$2:$W$4,2,FALSE)</f>
        <v>Good</v>
      </c>
      <c r="N31" s="7">
        <f>VLOOKUP(Table1[[#This Row],[Job_Status]],$V$2:$X$4,3,FALSE)</f>
        <v>0</v>
      </c>
    </row>
    <row r="32" spans="1:14" x14ac:dyDescent="0.3">
      <c r="A32" t="s">
        <v>40</v>
      </c>
      <c r="B32" t="s">
        <v>15</v>
      </c>
      <c r="C32" s="5">
        <v>1.7</v>
      </c>
      <c r="D32" s="7">
        <v>37</v>
      </c>
      <c r="E32" s="6">
        <v>3.21</v>
      </c>
      <c r="F32">
        <v>96</v>
      </c>
      <c r="G32" s="3">
        <v>45003.541666666664</v>
      </c>
      <c r="H32" s="3">
        <v>45003.567361111112</v>
      </c>
      <c r="I32" s="3">
        <v>45003.543055555558</v>
      </c>
      <c r="J32" s="3">
        <v>45003.568749999999</v>
      </c>
      <c r="K32" t="s">
        <v>16</v>
      </c>
      <c r="L32" t="s">
        <v>28</v>
      </c>
      <c r="M32" t="str">
        <f>VLOOKUP(Table1[[#This Row],[Job_Status]],$V$2:$W$4,2,FALSE)</f>
        <v>Good</v>
      </c>
      <c r="N32" s="7">
        <f>VLOOKUP(Table1[[#This Row],[Job_Status]],$V$2:$X$4,3,FALSE)</f>
        <v>0</v>
      </c>
    </row>
    <row r="33" spans="1:14" x14ac:dyDescent="0.3">
      <c r="A33" t="s">
        <v>40</v>
      </c>
      <c r="B33" t="s">
        <v>36</v>
      </c>
      <c r="C33" s="5">
        <v>3.02</v>
      </c>
      <c r="D33" s="7">
        <v>78</v>
      </c>
      <c r="E33" s="6">
        <v>4.93</v>
      </c>
      <c r="F33">
        <v>80</v>
      </c>
      <c r="G33" s="3">
        <v>45003.548611111109</v>
      </c>
      <c r="H33" s="3">
        <v>45003.602777777778</v>
      </c>
      <c r="I33" s="3">
        <v>45003.550694444442</v>
      </c>
      <c r="J33" s="3">
        <v>45003.604861111111</v>
      </c>
      <c r="K33" t="s">
        <v>16</v>
      </c>
      <c r="L33" t="s">
        <v>28</v>
      </c>
      <c r="M33" t="str">
        <f>VLOOKUP(Table1[[#This Row],[Job_Status]],$V$2:$W$4,2,FALSE)</f>
        <v>Good</v>
      </c>
      <c r="N33" s="7">
        <f>VLOOKUP(Table1[[#This Row],[Job_Status]],$V$2:$X$4,3,FALSE)</f>
        <v>0</v>
      </c>
    </row>
    <row r="34" spans="1:14" x14ac:dyDescent="0.3">
      <c r="A34" t="s">
        <v>22</v>
      </c>
      <c r="B34" t="s">
        <v>27</v>
      </c>
      <c r="C34" s="5">
        <v>3.7</v>
      </c>
      <c r="D34" s="7">
        <v>103</v>
      </c>
      <c r="E34" s="6">
        <v>8.02</v>
      </c>
      <c r="F34">
        <v>80</v>
      </c>
      <c r="G34" s="3">
        <v>45003.555555555555</v>
      </c>
      <c r="H34" s="3">
        <v>45003.627083333333</v>
      </c>
      <c r="I34" s="3">
        <v>45003.564583333333</v>
      </c>
      <c r="J34" s="3">
        <v>45003.636111111111</v>
      </c>
      <c r="K34" t="s">
        <v>19</v>
      </c>
      <c r="L34" t="s">
        <v>20</v>
      </c>
      <c r="M34" t="str">
        <f>VLOOKUP(Table1[[#This Row],[Job_Status]],$V$2:$W$4,2,FALSE)</f>
        <v>Good</v>
      </c>
      <c r="N34" s="7">
        <f>VLOOKUP(Table1[[#This Row],[Job_Status]],$V$2:$X$4,3,FALSE)</f>
        <v>0</v>
      </c>
    </row>
    <row r="35" spans="1:14" x14ac:dyDescent="0.3">
      <c r="A35" t="s">
        <v>14</v>
      </c>
      <c r="B35" t="s">
        <v>15</v>
      </c>
      <c r="C35" s="5">
        <v>1.47</v>
      </c>
      <c r="D35" s="7">
        <v>110</v>
      </c>
      <c r="E35" s="6">
        <v>12.52</v>
      </c>
      <c r="F35">
        <v>86</v>
      </c>
      <c r="G35" s="3">
        <v>45003.5625</v>
      </c>
      <c r="H35" s="3">
        <v>45003.638888888891</v>
      </c>
      <c r="I35" s="3">
        <v>45003.57916666667</v>
      </c>
      <c r="J35" s="3">
        <v>45003.655555555553</v>
      </c>
      <c r="K35" t="s">
        <v>19</v>
      </c>
      <c r="L35" t="s">
        <v>20</v>
      </c>
      <c r="M35" t="str">
        <f>VLOOKUP(Table1[[#This Row],[Job_Status]],$V$2:$W$4,2,FALSE)</f>
        <v>Good</v>
      </c>
      <c r="N35" s="7">
        <f>VLOOKUP(Table1[[#This Row],[Job_Status]],$V$2:$X$4,3,FALSE)</f>
        <v>0</v>
      </c>
    </row>
    <row r="36" spans="1:14" x14ac:dyDescent="0.3">
      <c r="A36" t="s">
        <v>30</v>
      </c>
      <c r="B36" t="s">
        <v>36</v>
      </c>
      <c r="C36" s="5">
        <v>2.0499999999999998</v>
      </c>
      <c r="D36" s="7">
        <v>47</v>
      </c>
      <c r="E36" s="6">
        <v>12.12</v>
      </c>
      <c r="F36">
        <v>82</v>
      </c>
      <c r="G36" s="3">
        <v>45003.569444444445</v>
      </c>
      <c r="H36" s="3">
        <v>45003.602083333331</v>
      </c>
      <c r="I36" s="3">
        <v>45003.570138888892</v>
      </c>
      <c r="J36" s="3">
        <v>45003.602777777778</v>
      </c>
      <c r="K36" t="s">
        <v>16</v>
      </c>
      <c r="L36" t="s">
        <v>17</v>
      </c>
      <c r="M36" t="str">
        <f>VLOOKUP(Table1[[#This Row],[Job_Status]],$V$2:$W$4,2,FALSE)</f>
        <v>Good</v>
      </c>
      <c r="N36" s="7">
        <f>VLOOKUP(Table1[[#This Row],[Job_Status]],$V$2:$X$4,3,FALSE)</f>
        <v>0</v>
      </c>
    </row>
    <row r="37" spans="1:14" x14ac:dyDescent="0.3">
      <c r="A37" t="s">
        <v>22</v>
      </c>
      <c r="B37" t="s">
        <v>23</v>
      </c>
      <c r="C37" s="5">
        <v>1.76</v>
      </c>
      <c r="D37" s="7">
        <v>99</v>
      </c>
      <c r="E37" s="6">
        <v>4.72</v>
      </c>
      <c r="F37">
        <v>96</v>
      </c>
      <c r="G37" s="3">
        <v>45003.576388888891</v>
      </c>
      <c r="H37" s="3">
        <v>45003.645138888889</v>
      </c>
      <c r="I37" s="3">
        <v>45003.574305555558</v>
      </c>
      <c r="J37" s="3">
        <v>45003.643055555556</v>
      </c>
      <c r="K37" t="s">
        <v>16</v>
      </c>
      <c r="L37" t="s">
        <v>20</v>
      </c>
      <c r="M37" t="str">
        <f>VLOOKUP(Table1[[#This Row],[Job_Status]],$V$2:$W$4,2,FALSE)</f>
        <v>Good</v>
      </c>
      <c r="N37" s="7">
        <f>VLOOKUP(Table1[[#This Row],[Job_Status]],$V$2:$X$4,3,FALSE)</f>
        <v>0</v>
      </c>
    </row>
    <row r="38" spans="1:14" x14ac:dyDescent="0.3">
      <c r="A38" t="s">
        <v>14</v>
      </c>
      <c r="B38" t="s">
        <v>32</v>
      </c>
      <c r="C38" s="5">
        <v>4.5999999999999996</v>
      </c>
      <c r="D38" s="7">
        <v>79</v>
      </c>
      <c r="E38" s="6">
        <v>13.17</v>
      </c>
      <c r="F38">
        <v>88</v>
      </c>
      <c r="G38" s="3">
        <v>45003.583333333336</v>
      </c>
      <c r="H38" s="3">
        <v>45003.638194444444</v>
      </c>
      <c r="I38" s="3">
        <v>45003.584722222222</v>
      </c>
      <c r="J38" s="3">
        <v>45003.63958333333</v>
      </c>
      <c r="K38" t="s">
        <v>16</v>
      </c>
      <c r="L38" t="s">
        <v>17</v>
      </c>
      <c r="M38" t="str">
        <f>VLOOKUP(Table1[[#This Row],[Job_Status]],$V$2:$W$4,2,FALSE)</f>
        <v>Good</v>
      </c>
      <c r="N38" s="7">
        <f>VLOOKUP(Table1[[#This Row],[Job_Status]],$V$2:$X$4,3,FALSE)</f>
        <v>0</v>
      </c>
    </row>
    <row r="39" spans="1:14" x14ac:dyDescent="0.3">
      <c r="A39" t="s">
        <v>14</v>
      </c>
      <c r="B39" t="s">
        <v>15</v>
      </c>
      <c r="C39" s="5">
        <v>4.7699999999999996</v>
      </c>
      <c r="D39" s="7">
        <v>43</v>
      </c>
      <c r="E39" s="6">
        <v>4.9800000000000004</v>
      </c>
      <c r="F39">
        <v>94</v>
      </c>
      <c r="G39" s="3">
        <v>45003.590277777781</v>
      </c>
      <c r="H39" s="3">
        <v>45003.620138888888</v>
      </c>
      <c r="I39" s="3">
        <v>45003.590277777781</v>
      </c>
      <c r="J39" s="3">
        <v>45003.620138888888</v>
      </c>
      <c r="K39" t="s">
        <v>16</v>
      </c>
      <c r="L39" t="s">
        <v>28</v>
      </c>
      <c r="M39" t="str">
        <f>VLOOKUP(Table1[[#This Row],[Job_Status]],$V$2:$W$4,2,FALSE)</f>
        <v>Good</v>
      </c>
      <c r="N39" s="7">
        <f>VLOOKUP(Table1[[#This Row],[Job_Status]],$V$2:$X$4,3,FALSE)</f>
        <v>0</v>
      </c>
    </row>
    <row r="40" spans="1:14" x14ac:dyDescent="0.3">
      <c r="A40" t="s">
        <v>30</v>
      </c>
      <c r="B40" t="s">
        <v>36</v>
      </c>
      <c r="C40" s="5">
        <v>4.0599999999999996</v>
      </c>
      <c r="D40" s="7">
        <v>48</v>
      </c>
      <c r="E40" s="6">
        <v>10.65</v>
      </c>
      <c r="F40">
        <v>86</v>
      </c>
      <c r="G40" s="3">
        <v>45003.597222222219</v>
      </c>
      <c r="H40" s="3">
        <v>45003.630555555559</v>
      </c>
      <c r="K40" t="s">
        <v>24</v>
      </c>
      <c r="L40" t="s">
        <v>20</v>
      </c>
      <c r="M40" t="str">
        <f>VLOOKUP(Table1[[#This Row],[Job_Status]],$V$2:$W$4,2,FALSE)</f>
        <v>Defect</v>
      </c>
      <c r="N40" s="7">
        <f>VLOOKUP(Table1[[#This Row],[Job_Status]],$V$2:$X$4,3,FALSE)</f>
        <v>100</v>
      </c>
    </row>
    <row r="41" spans="1:14" x14ac:dyDescent="0.3">
      <c r="A41" t="s">
        <v>14</v>
      </c>
      <c r="B41" t="s">
        <v>27</v>
      </c>
      <c r="C41" s="5">
        <v>2.29</v>
      </c>
      <c r="D41" s="7">
        <v>50</v>
      </c>
      <c r="E41" s="6">
        <v>9.94</v>
      </c>
      <c r="F41">
        <v>97</v>
      </c>
      <c r="G41" s="3">
        <v>45003.604166666664</v>
      </c>
      <c r="H41" s="3">
        <v>45003.638888888891</v>
      </c>
      <c r="I41" s="3">
        <v>45003.603472222225</v>
      </c>
      <c r="J41" s="3">
        <v>45003.638194444444</v>
      </c>
      <c r="K41" t="s">
        <v>16</v>
      </c>
      <c r="L41" t="s">
        <v>20</v>
      </c>
      <c r="M41" t="str">
        <f>VLOOKUP(Table1[[#This Row],[Job_Status]],$V$2:$W$4,2,FALSE)</f>
        <v>Good</v>
      </c>
      <c r="N41" s="7">
        <f>VLOOKUP(Table1[[#This Row],[Job_Status]],$V$2:$X$4,3,FALSE)</f>
        <v>0</v>
      </c>
    </row>
    <row r="42" spans="1:14" x14ac:dyDescent="0.3">
      <c r="A42" t="s">
        <v>22</v>
      </c>
      <c r="B42" t="s">
        <v>32</v>
      </c>
      <c r="C42" s="5">
        <v>1.1499999999999999</v>
      </c>
      <c r="D42" s="7">
        <v>88</v>
      </c>
      <c r="E42" s="6">
        <v>11.64</v>
      </c>
      <c r="F42">
        <v>82</v>
      </c>
      <c r="G42" s="3">
        <v>45003.611111111109</v>
      </c>
      <c r="H42" s="3">
        <v>45003.672222222223</v>
      </c>
      <c r="I42" s="3">
        <v>45003.613194444442</v>
      </c>
      <c r="J42" s="3">
        <v>45003.674305555556</v>
      </c>
      <c r="K42" t="s">
        <v>16</v>
      </c>
      <c r="L42" t="s">
        <v>17</v>
      </c>
      <c r="M42" t="str">
        <f>VLOOKUP(Table1[[#This Row],[Job_Status]],$V$2:$W$4,2,FALSE)</f>
        <v>Good</v>
      </c>
      <c r="N42" s="7">
        <f>VLOOKUP(Table1[[#This Row],[Job_Status]],$V$2:$X$4,3,FALSE)</f>
        <v>0</v>
      </c>
    </row>
    <row r="43" spans="1:14" x14ac:dyDescent="0.3">
      <c r="A43" t="s">
        <v>22</v>
      </c>
      <c r="B43" t="s">
        <v>23</v>
      </c>
      <c r="C43" s="5">
        <v>1.55</v>
      </c>
      <c r="D43" s="7">
        <v>48</v>
      </c>
      <c r="E43" s="6">
        <v>13.57</v>
      </c>
      <c r="F43">
        <v>95</v>
      </c>
      <c r="G43" s="3">
        <v>45003.618055555555</v>
      </c>
      <c r="H43" s="3">
        <v>45003.651388888888</v>
      </c>
      <c r="I43" s="3">
        <v>45003.615972222222</v>
      </c>
      <c r="J43" s="3">
        <v>45003.649305555555</v>
      </c>
      <c r="K43" t="s">
        <v>16</v>
      </c>
      <c r="L43" t="s">
        <v>20</v>
      </c>
      <c r="M43" t="str">
        <f>VLOOKUP(Table1[[#This Row],[Job_Status]],$V$2:$W$4,2,FALSE)</f>
        <v>Good</v>
      </c>
      <c r="N43" s="7">
        <f>VLOOKUP(Table1[[#This Row],[Job_Status]],$V$2:$X$4,3,FALSE)</f>
        <v>0</v>
      </c>
    </row>
    <row r="44" spans="1:14" x14ac:dyDescent="0.3">
      <c r="A44" t="s">
        <v>40</v>
      </c>
      <c r="B44" t="s">
        <v>23</v>
      </c>
      <c r="C44" s="5">
        <v>4.84</v>
      </c>
      <c r="D44" s="7">
        <v>75</v>
      </c>
      <c r="E44" s="6">
        <v>4.53</v>
      </c>
      <c r="F44">
        <v>87</v>
      </c>
      <c r="G44" s="3">
        <v>45003.625</v>
      </c>
      <c r="H44" s="3">
        <v>45003.677083333336</v>
      </c>
      <c r="I44" s="3">
        <v>45003.625694444447</v>
      </c>
      <c r="J44" s="3">
        <v>45003.677777777775</v>
      </c>
      <c r="K44" t="s">
        <v>16</v>
      </c>
      <c r="L44" t="s">
        <v>28</v>
      </c>
      <c r="M44" t="str">
        <f>VLOOKUP(Table1[[#This Row],[Job_Status]],$V$2:$W$4,2,FALSE)</f>
        <v>Good</v>
      </c>
      <c r="N44" s="7">
        <f>VLOOKUP(Table1[[#This Row],[Job_Status]],$V$2:$X$4,3,FALSE)</f>
        <v>0</v>
      </c>
    </row>
    <row r="45" spans="1:14" x14ac:dyDescent="0.3">
      <c r="A45" t="s">
        <v>30</v>
      </c>
      <c r="B45" t="s">
        <v>27</v>
      </c>
      <c r="C45" s="5">
        <v>1.82</v>
      </c>
      <c r="D45" s="7">
        <v>109</v>
      </c>
      <c r="E45" s="6">
        <v>5.67</v>
      </c>
      <c r="F45">
        <v>93</v>
      </c>
      <c r="G45" s="3">
        <v>45003.631944444445</v>
      </c>
      <c r="H45" s="3">
        <v>45003.707638888889</v>
      </c>
      <c r="I45" s="3">
        <v>45003.628472222219</v>
      </c>
      <c r="J45" s="3">
        <v>45003.70416666667</v>
      </c>
      <c r="K45" t="s">
        <v>16</v>
      </c>
      <c r="L45" t="s">
        <v>20</v>
      </c>
      <c r="M45" t="str">
        <f>VLOOKUP(Table1[[#This Row],[Job_Status]],$V$2:$W$4,2,FALSE)</f>
        <v>Good</v>
      </c>
      <c r="N45" s="7">
        <f>VLOOKUP(Table1[[#This Row],[Job_Status]],$V$2:$X$4,3,FALSE)</f>
        <v>0</v>
      </c>
    </row>
    <row r="46" spans="1:14" x14ac:dyDescent="0.3">
      <c r="A46" t="s">
        <v>30</v>
      </c>
      <c r="B46" t="s">
        <v>32</v>
      </c>
      <c r="C46" s="5">
        <v>3.52</v>
      </c>
      <c r="D46" s="7">
        <v>78</v>
      </c>
      <c r="E46" s="6">
        <v>3.03</v>
      </c>
      <c r="F46">
        <v>91</v>
      </c>
      <c r="G46" s="3">
        <v>45003.638888888891</v>
      </c>
      <c r="H46" s="3">
        <v>45003.693055555559</v>
      </c>
      <c r="I46" s="3">
        <v>45003.642361111109</v>
      </c>
      <c r="J46" s="3">
        <v>45003.696527777778</v>
      </c>
      <c r="K46" t="s">
        <v>16</v>
      </c>
      <c r="L46" t="s">
        <v>28</v>
      </c>
      <c r="M46" t="str">
        <f>VLOOKUP(Table1[[#This Row],[Job_Status]],$V$2:$W$4,2,FALSE)</f>
        <v>Good</v>
      </c>
      <c r="N46" s="7">
        <f>VLOOKUP(Table1[[#This Row],[Job_Status]],$V$2:$X$4,3,FALSE)</f>
        <v>0</v>
      </c>
    </row>
    <row r="47" spans="1:14" x14ac:dyDescent="0.3">
      <c r="A47" t="s">
        <v>40</v>
      </c>
      <c r="B47" t="s">
        <v>32</v>
      </c>
      <c r="C47" s="5">
        <v>4.5199999999999996</v>
      </c>
      <c r="D47" s="7">
        <v>30</v>
      </c>
      <c r="E47" s="6">
        <v>7.15</v>
      </c>
      <c r="F47">
        <v>85</v>
      </c>
      <c r="G47" s="3">
        <v>45003.645833333336</v>
      </c>
      <c r="H47" s="3">
        <v>45003.666666666664</v>
      </c>
      <c r="I47" s="3">
        <v>45003.662499999999</v>
      </c>
      <c r="J47" s="3">
        <v>45003.683333333334</v>
      </c>
      <c r="K47" t="s">
        <v>19</v>
      </c>
      <c r="L47" t="s">
        <v>20</v>
      </c>
      <c r="M47" t="str">
        <f>VLOOKUP(Table1[[#This Row],[Job_Status]],$V$2:$W$4,2,FALSE)</f>
        <v>Good</v>
      </c>
      <c r="N47" s="7">
        <f>VLOOKUP(Table1[[#This Row],[Job_Status]],$V$2:$X$4,3,FALSE)</f>
        <v>0</v>
      </c>
    </row>
    <row r="48" spans="1:14" x14ac:dyDescent="0.3">
      <c r="A48" t="s">
        <v>30</v>
      </c>
      <c r="B48" t="s">
        <v>36</v>
      </c>
      <c r="C48" s="5">
        <v>1.9</v>
      </c>
      <c r="D48" s="7">
        <v>25</v>
      </c>
      <c r="E48" s="6">
        <v>10.09</v>
      </c>
      <c r="F48">
        <v>85</v>
      </c>
      <c r="G48" s="3">
        <v>45003.652777777781</v>
      </c>
      <c r="H48" s="3">
        <v>45003.670138888891</v>
      </c>
      <c r="I48" s="3">
        <v>45003.655555555553</v>
      </c>
      <c r="J48" s="3">
        <v>45003.67291666667</v>
      </c>
      <c r="K48" t="s">
        <v>16</v>
      </c>
      <c r="L48" t="s">
        <v>17</v>
      </c>
      <c r="M48" t="str">
        <f>VLOOKUP(Table1[[#This Row],[Job_Status]],$V$2:$W$4,2,FALSE)</f>
        <v>Good</v>
      </c>
      <c r="N48" s="7">
        <f>VLOOKUP(Table1[[#This Row],[Job_Status]],$V$2:$X$4,3,FALSE)</f>
        <v>0</v>
      </c>
    </row>
    <row r="49" spans="1:14" x14ac:dyDescent="0.3">
      <c r="A49" t="s">
        <v>30</v>
      </c>
      <c r="B49" t="s">
        <v>27</v>
      </c>
      <c r="C49" s="5">
        <v>3.67</v>
      </c>
      <c r="D49" s="7">
        <v>75</v>
      </c>
      <c r="E49" s="6">
        <v>4.12</v>
      </c>
      <c r="F49">
        <v>99</v>
      </c>
      <c r="G49" s="3">
        <v>45003.659722222219</v>
      </c>
      <c r="H49" s="3">
        <v>45003.711805555555</v>
      </c>
      <c r="I49" s="3">
        <v>45003.657638888886</v>
      </c>
      <c r="J49" s="3">
        <v>45003.709722222222</v>
      </c>
      <c r="K49" t="s">
        <v>16</v>
      </c>
      <c r="L49" t="s">
        <v>20</v>
      </c>
      <c r="M49" t="str">
        <f>VLOOKUP(Table1[[#This Row],[Job_Status]],$V$2:$W$4,2,FALSE)</f>
        <v>Good</v>
      </c>
      <c r="N49" s="7">
        <f>VLOOKUP(Table1[[#This Row],[Job_Status]],$V$2:$X$4,3,FALSE)</f>
        <v>0</v>
      </c>
    </row>
    <row r="50" spans="1:14" x14ac:dyDescent="0.3">
      <c r="A50" t="s">
        <v>30</v>
      </c>
      <c r="B50" t="s">
        <v>27</v>
      </c>
      <c r="C50" s="5">
        <v>4.43</v>
      </c>
      <c r="D50" s="7">
        <v>33</v>
      </c>
      <c r="E50" s="6">
        <v>7.55</v>
      </c>
      <c r="F50">
        <v>80</v>
      </c>
      <c r="G50" s="3">
        <v>45003.666666666664</v>
      </c>
      <c r="H50" s="3">
        <v>45003.689583333333</v>
      </c>
      <c r="I50" s="3">
        <v>45003.669444444444</v>
      </c>
      <c r="J50" s="3">
        <v>45003.692361111112</v>
      </c>
      <c r="K50" t="s">
        <v>16</v>
      </c>
      <c r="L50" t="s">
        <v>17</v>
      </c>
      <c r="M50" t="str">
        <f>VLOOKUP(Table1[[#This Row],[Job_Status]],$V$2:$W$4,2,FALSE)</f>
        <v>Good</v>
      </c>
      <c r="N50" s="7">
        <f>VLOOKUP(Table1[[#This Row],[Job_Status]],$V$2:$X$4,3,FALSE)</f>
        <v>0</v>
      </c>
    </row>
    <row r="51" spans="1:14" x14ac:dyDescent="0.3">
      <c r="A51" t="s">
        <v>14</v>
      </c>
      <c r="B51" t="s">
        <v>27</v>
      </c>
      <c r="C51" s="5">
        <v>1.42</v>
      </c>
      <c r="D51" s="7">
        <v>104</v>
      </c>
      <c r="E51" s="6">
        <v>3.09</v>
      </c>
      <c r="F51">
        <v>87</v>
      </c>
      <c r="G51" s="3">
        <v>45003.673611111109</v>
      </c>
      <c r="H51" s="3">
        <v>45003.745833333334</v>
      </c>
      <c r="I51" s="3">
        <v>45003.686805555553</v>
      </c>
      <c r="J51" s="3">
        <v>45003.759027777778</v>
      </c>
      <c r="K51" t="s">
        <v>19</v>
      </c>
      <c r="L51" t="s">
        <v>20</v>
      </c>
      <c r="M51" t="str">
        <f>VLOOKUP(Table1[[#This Row],[Job_Status]],$V$2:$W$4,2,FALSE)</f>
        <v>Good</v>
      </c>
      <c r="N51" s="7">
        <f>VLOOKUP(Table1[[#This Row],[Job_Status]],$V$2:$X$4,3,FALSE)</f>
        <v>0</v>
      </c>
    </row>
    <row r="52" spans="1:14" x14ac:dyDescent="0.3">
      <c r="A52" t="s">
        <v>22</v>
      </c>
      <c r="B52" t="s">
        <v>27</v>
      </c>
      <c r="C52" s="5">
        <v>4.25</v>
      </c>
      <c r="D52" s="7">
        <v>24</v>
      </c>
      <c r="E52" s="6">
        <v>7.26</v>
      </c>
      <c r="F52">
        <v>90</v>
      </c>
      <c r="G52" s="3">
        <v>45003.680555555555</v>
      </c>
      <c r="H52" s="3">
        <v>45003.697222222225</v>
      </c>
      <c r="K52" t="s">
        <v>24</v>
      </c>
      <c r="L52" t="s">
        <v>20</v>
      </c>
      <c r="M52" t="str">
        <f>VLOOKUP(Table1[[#This Row],[Job_Status]],$V$2:$W$4,2,FALSE)</f>
        <v>Defect</v>
      </c>
      <c r="N52" s="7">
        <f>VLOOKUP(Table1[[#This Row],[Job_Status]],$V$2:$X$4,3,FALSE)</f>
        <v>100</v>
      </c>
    </row>
    <row r="53" spans="1:14" x14ac:dyDescent="0.3">
      <c r="A53" t="s">
        <v>34</v>
      </c>
      <c r="B53" t="s">
        <v>15</v>
      </c>
      <c r="C53" s="5">
        <v>3.91</v>
      </c>
      <c r="D53" s="7">
        <v>23</v>
      </c>
      <c r="E53" s="6">
        <v>9.1999999999999993</v>
      </c>
      <c r="F53">
        <v>82</v>
      </c>
      <c r="G53" s="3">
        <v>45003.6875</v>
      </c>
      <c r="H53" s="3">
        <v>45003.703472222223</v>
      </c>
      <c r="I53" s="3">
        <v>45003.685416666667</v>
      </c>
      <c r="J53" s="3">
        <v>45003.701388888891</v>
      </c>
      <c r="K53" t="s">
        <v>16</v>
      </c>
      <c r="L53" t="s">
        <v>20</v>
      </c>
      <c r="M53" t="str">
        <f>VLOOKUP(Table1[[#This Row],[Job_Status]],$V$2:$W$4,2,FALSE)</f>
        <v>Good</v>
      </c>
      <c r="N53" s="7">
        <f>VLOOKUP(Table1[[#This Row],[Job_Status]],$V$2:$X$4,3,FALSE)</f>
        <v>0</v>
      </c>
    </row>
    <row r="54" spans="1:14" x14ac:dyDescent="0.3">
      <c r="A54" t="s">
        <v>30</v>
      </c>
      <c r="B54" t="s">
        <v>27</v>
      </c>
      <c r="C54" s="5">
        <v>1.85</v>
      </c>
      <c r="D54" s="7">
        <v>97</v>
      </c>
      <c r="E54" s="6">
        <v>4.7699999999999996</v>
      </c>
      <c r="F54">
        <v>98</v>
      </c>
      <c r="G54" s="3">
        <v>45003.694444444445</v>
      </c>
      <c r="H54" s="3">
        <v>45003.761805555558</v>
      </c>
      <c r="I54" s="3">
        <v>45003.692361111112</v>
      </c>
      <c r="J54" s="3">
        <v>45003.759722222225</v>
      </c>
      <c r="K54" t="s">
        <v>16</v>
      </c>
      <c r="L54" t="s">
        <v>20</v>
      </c>
      <c r="M54" t="str">
        <f>VLOOKUP(Table1[[#This Row],[Job_Status]],$V$2:$W$4,2,FALSE)</f>
        <v>Good</v>
      </c>
      <c r="N54" s="7">
        <f>VLOOKUP(Table1[[#This Row],[Job_Status]],$V$2:$X$4,3,FALSE)</f>
        <v>0</v>
      </c>
    </row>
    <row r="55" spans="1:14" x14ac:dyDescent="0.3">
      <c r="A55" t="s">
        <v>34</v>
      </c>
      <c r="B55" t="s">
        <v>36</v>
      </c>
      <c r="C55" s="5">
        <v>2.79</v>
      </c>
      <c r="D55" s="7">
        <v>64</v>
      </c>
      <c r="E55" s="6">
        <v>6.66</v>
      </c>
      <c r="F55">
        <v>82</v>
      </c>
      <c r="G55" s="3">
        <v>45003.701388888891</v>
      </c>
      <c r="H55" s="3">
        <v>45003.745833333334</v>
      </c>
      <c r="I55" s="3">
        <v>45003.715277777781</v>
      </c>
      <c r="J55" s="3">
        <v>45003.759722222225</v>
      </c>
      <c r="K55" t="s">
        <v>19</v>
      </c>
      <c r="L55" t="s">
        <v>20</v>
      </c>
      <c r="M55" t="str">
        <f>VLOOKUP(Table1[[#This Row],[Job_Status]],$V$2:$W$4,2,FALSE)</f>
        <v>Good</v>
      </c>
      <c r="N55" s="7">
        <f>VLOOKUP(Table1[[#This Row],[Job_Status]],$V$2:$X$4,3,FALSE)</f>
        <v>0</v>
      </c>
    </row>
    <row r="56" spans="1:14" x14ac:dyDescent="0.3">
      <c r="A56" t="s">
        <v>34</v>
      </c>
      <c r="B56" t="s">
        <v>36</v>
      </c>
      <c r="C56" s="5">
        <v>4.6100000000000003</v>
      </c>
      <c r="D56" s="7">
        <v>116</v>
      </c>
      <c r="E56" s="6">
        <v>13.1</v>
      </c>
      <c r="F56">
        <v>99</v>
      </c>
      <c r="G56" s="3">
        <v>45003.708333333336</v>
      </c>
      <c r="H56" s="3">
        <v>45003.788888888892</v>
      </c>
      <c r="I56" s="3">
        <v>45003.704861111109</v>
      </c>
      <c r="J56" s="3">
        <v>45003.785416666666</v>
      </c>
      <c r="K56" t="s">
        <v>16</v>
      </c>
      <c r="L56" t="s">
        <v>20</v>
      </c>
      <c r="M56" t="str">
        <f>VLOOKUP(Table1[[#This Row],[Job_Status]],$V$2:$W$4,2,FALSE)</f>
        <v>Good</v>
      </c>
      <c r="N56" s="7">
        <f>VLOOKUP(Table1[[#This Row],[Job_Status]],$V$2:$X$4,3,FALSE)</f>
        <v>0</v>
      </c>
    </row>
    <row r="57" spans="1:14" x14ac:dyDescent="0.3">
      <c r="A57" t="s">
        <v>14</v>
      </c>
      <c r="B57" t="s">
        <v>36</v>
      </c>
      <c r="C57" s="5">
        <v>4.2</v>
      </c>
      <c r="D57" s="7">
        <v>104</v>
      </c>
      <c r="E57" s="6">
        <v>11.91</v>
      </c>
      <c r="F57">
        <v>80</v>
      </c>
      <c r="G57" s="3">
        <v>45003.715277777781</v>
      </c>
      <c r="H57" s="3">
        <v>45003.787499999999</v>
      </c>
      <c r="I57" s="3">
        <v>45003.713194444441</v>
      </c>
      <c r="J57" s="3">
        <v>45003.785416666666</v>
      </c>
      <c r="K57" t="s">
        <v>16</v>
      </c>
      <c r="L57" t="s">
        <v>20</v>
      </c>
      <c r="M57" t="str">
        <f>VLOOKUP(Table1[[#This Row],[Job_Status]],$V$2:$W$4,2,FALSE)</f>
        <v>Good</v>
      </c>
      <c r="N57" s="7">
        <f>VLOOKUP(Table1[[#This Row],[Job_Status]],$V$2:$X$4,3,FALSE)</f>
        <v>0</v>
      </c>
    </row>
    <row r="58" spans="1:14" x14ac:dyDescent="0.3">
      <c r="A58" t="s">
        <v>30</v>
      </c>
      <c r="B58" t="s">
        <v>23</v>
      </c>
      <c r="C58" s="5">
        <v>1.04</v>
      </c>
      <c r="D58" s="7">
        <v>31</v>
      </c>
      <c r="E58" s="6">
        <v>6.53</v>
      </c>
      <c r="F58">
        <v>86</v>
      </c>
      <c r="G58" s="3">
        <v>45003.722222222219</v>
      </c>
      <c r="H58" s="3">
        <v>45003.743750000001</v>
      </c>
      <c r="I58" s="3">
        <v>45003.72152777778</v>
      </c>
      <c r="J58" s="3">
        <v>45003.743055555555</v>
      </c>
      <c r="K58" t="s">
        <v>16</v>
      </c>
      <c r="L58" t="s">
        <v>20</v>
      </c>
      <c r="M58" t="str">
        <f>VLOOKUP(Table1[[#This Row],[Job_Status]],$V$2:$W$4,2,FALSE)</f>
        <v>Good</v>
      </c>
      <c r="N58" s="7">
        <f>VLOOKUP(Table1[[#This Row],[Job_Status]],$V$2:$X$4,3,FALSE)</f>
        <v>0</v>
      </c>
    </row>
    <row r="59" spans="1:14" x14ac:dyDescent="0.3">
      <c r="A59" t="s">
        <v>14</v>
      </c>
      <c r="B59" t="s">
        <v>15</v>
      </c>
      <c r="C59" s="5">
        <v>1.03</v>
      </c>
      <c r="D59" s="7">
        <v>83</v>
      </c>
      <c r="E59" s="6">
        <v>8.42</v>
      </c>
      <c r="F59">
        <v>81</v>
      </c>
      <c r="G59" s="3">
        <v>45003.729166666664</v>
      </c>
      <c r="H59" s="3">
        <v>45003.786805555559</v>
      </c>
      <c r="I59" s="3">
        <v>45003.729861111111</v>
      </c>
      <c r="J59" s="3">
        <v>45003.787499999999</v>
      </c>
      <c r="K59" t="s">
        <v>16</v>
      </c>
      <c r="L59" t="s">
        <v>28</v>
      </c>
      <c r="M59" t="str">
        <f>VLOOKUP(Table1[[#This Row],[Job_Status]],$V$2:$W$4,2,FALSE)</f>
        <v>Good</v>
      </c>
      <c r="N59" s="7">
        <f>VLOOKUP(Table1[[#This Row],[Job_Status]],$V$2:$X$4,3,FALSE)</f>
        <v>0</v>
      </c>
    </row>
    <row r="60" spans="1:14" x14ac:dyDescent="0.3">
      <c r="A60" t="s">
        <v>34</v>
      </c>
      <c r="B60" t="s">
        <v>23</v>
      </c>
      <c r="C60" s="5">
        <v>3.62</v>
      </c>
      <c r="D60" s="7">
        <v>62</v>
      </c>
      <c r="E60" s="6">
        <v>6.06</v>
      </c>
      <c r="F60">
        <v>88</v>
      </c>
      <c r="G60" s="3">
        <v>45003.736111111109</v>
      </c>
      <c r="H60" s="3">
        <v>45003.779166666667</v>
      </c>
      <c r="I60" s="3">
        <v>45003.743750000001</v>
      </c>
      <c r="J60" s="3">
        <v>45003.786805555559</v>
      </c>
      <c r="K60" t="s">
        <v>19</v>
      </c>
      <c r="L60" t="s">
        <v>20</v>
      </c>
      <c r="M60" t="str">
        <f>VLOOKUP(Table1[[#This Row],[Job_Status]],$V$2:$W$4,2,FALSE)</f>
        <v>Good</v>
      </c>
      <c r="N60" s="7">
        <f>VLOOKUP(Table1[[#This Row],[Job_Status]],$V$2:$X$4,3,FALSE)</f>
        <v>0</v>
      </c>
    </row>
    <row r="61" spans="1:14" x14ac:dyDescent="0.3">
      <c r="A61" t="s">
        <v>14</v>
      </c>
      <c r="B61" t="s">
        <v>32</v>
      </c>
      <c r="C61" s="5">
        <v>3.29</v>
      </c>
      <c r="D61" s="7">
        <v>66</v>
      </c>
      <c r="E61" s="6">
        <v>8.69</v>
      </c>
      <c r="F61">
        <v>80</v>
      </c>
      <c r="G61" s="3">
        <v>45003.743055555555</v>
      </c>
      <c r="H61" s="3">
        <v>45003.788888888892</v>
      </c>
      <c r="I61" s="3">
        <v>45003.744444444441</v>
      </c>
      <c r="J61" s="3">
        <v>45003.790277777778</v>
      </c>
      <c r="K61" t="s">
        <v>16</v>
      </c>
      <c r="L61" t="s">
        <v>17</v>
      </c>
      <c r="M61" t="str">
        <f>VLOOKUP(Table1[[#This Row],[Job_Status]],$V$2:$W$4,2,FALSE)</f>
        <v>Good</v>
      </c>
      <c r="N61" s="7">
        <f>VLOOKUP(Table1[[#This Row],[Job_Status]],$V$2:$X$4,3,FALSE)</f>
        <v>0</v>
      </c>
    </row>
    <row r="62" spans="1:14" x14ac:dyDescent="0.3">
      <c r="A62" t="s">
        <v>30</v>
      </c>
      <c r="B62" t="s">
        <v>27</v>
      </c>
      <c r="C62" s="5">
        <v>3.03</v>
      </c>
      <c r="D62" s="7">
        <v>110</v>
      </c>
      <c r="E62" s="6">
        <v>6.98</v>
      </c>
      <c r="F62">
        <v>82</v>
      </c>
      <c r="G62" s="3">
        <v>45003.75</v>
      </c>
      <c r="H62" s="3">
        <v>45003.826388888891</v>
      </c>
      <c r="K62" t="s">
        <v>24</v>
      </c>
      <c r="L62" t="s">
        <v>20</v>
      </c>
      <c r="M62" t="str">
        <f>VLOOKUP(Table1[[#This Row],[Job_Status]],$V$2:$W$4,2,FALSE)</f>
        <v>Defect</v>
      </c>
      <c r="N62" s="7">
        <f>VLOOKUP(Table1[[#This Row],[Job_Status]],$V$2:$X$4,3,FALSE)</f>
        <v>100</v>
      </c>
    </row>
    <row r="63" spans="1:14" x14ac:dyDescent="0.3">
      <c r="A63" t="s">
        <v>30</v>
      </c>
      <c r="B63" t="s">
        <v>27</v>
      </c>
      <c r="C63" s="5">
        <v>2.4700000000000002</v>
      </c>
      <c r="D63" s="7">
        <v>98</v>
      </c>
      <c r="E63" s="6">
        <v>9.93</v>
      </c>
      <c r="F63">
        <v>82</v>
      </c>
      <c r="G63" s="3">
        <v>45003.756944444445</v>
      </c>
      <c r="H63" s="3">
        <v>45003.824999999997</v>
      </c>
      <c r="I63" s="3">
        <v>45003.777083333334</v>
      </c>
      <c r="J63" s="3">
        <v>45003.845138888886</v>
      </c>
      <c r="K63" t="s">
        <v>19</v>
      </c>
      <c r="L63" t="s">
        <v>20</v>
      </c>
      <c r="M63" t="str">
        <f>VLOOKUP(Table1[[#This Row],[Job_Status]],$V$2:$W$4,2,FALSE)</f>
        <v>Good</v>
      </c>
      <c r="N63" s="7">
        <f>VLOOKUP(Table1[[#This Row],[Job_Status]],$V$2:$X$4,3,FALSE)</f>
        <v>0</v>
      </c>
    </row>
    <row r="64" spans="1:14" x14ac:dyDescent="0.3">
      <c r="A64" t="s">
        <v>30</v>
      </c>
      <c r="B64" t="s">
        <v>27</v>
      </c>
      <c r="C64" s="5">
        <v>3.2</v>
      </c>
      <c r="D64" s="7">
        <v>47</v>
      </c>
      <c r="E64" s="6">
        <v>8.4</v>
      </c>
      <c r="F64">
        <v>86</v>
      </c>
      <c r="G64" s="3">
        <v>45003.763888888891</v>
      </c>
      <c r="H64" s="3">
        <v>45003.796527777777</v>
      </c>
      <c r="K64" t="s">
        <v>24</v>
      </c>
      <c r="L64" t="s">
        <v>20</v>
      </c>
      <c r="M64" t="str">
        <f>VLOOKUP(Table1[[#This Row],[Job_Status]],$V$2:$W$4,2,FALSE)</f>
        <v>Defect</v>
      </c>
      <c r="N64" s="7">
        <f>VLOOKUP(Table1[[#This Row],[Job_Status]],$V$2:$X$4,3,FALSE)</f>
        <v>100</v>
      </c>
    </row>
    <row r="65" spans="1:14" x14ac:dyDescent="0.3">
      <c r="A65" t="s">
        <v>30</v>
      </c>
      <c r="B65" t="s">
        <v>27</v>
      </c>
      <c r="C65" s="5">
        <v>4.8099999999999996</v>
      </c>
      <c r="D65" s="7">
        <v>71</v>
      </c>
      <c r="E65" s="6">
        <v>7.42</v>
      </c>
      <c r="F65">
        <v>83</v>
      </c>
      <c r="G65" s="3">
        <v>45003.770833333336</v>
      </c>
      <c r="H65" s="3">
        <v>45003.820138888892</v>
      </c>
      <c r="I65" s="3">
        <v>45003.770833333336</v>
      </c>
      <c r="J65" s="3">
        <v>45003.820138888892</v>
      </c>
      <c r="K65" t="s">
        <v>16</v>
      </c>
      <c r="L65" t="s">
        <v>28</v>
      </c>
      <c r="M65" t="str">
        <f>VLOOKUP(Table1[[#This Row],[Job_Status]],$V$2:$W$4,2,FALSE)</f>
        <v>Good</v>
      </c>
      <c r="N65" s="7">
        <f>VLOOKUP(Table1[[#This Row],[Job_Status]],$V$2:$X$4,3,FALSE)</f>
        <v>0</v>
      </c>
    </row>
    <row r="66" spans="1:14" x14ac:dyDescent="0.3">
      <c r="A66" t="s">
        <v>40</v>
      </c>
      <c r="B66" t="s">
        <v>15</v>
      </c>
      <c r="C66" s="5">
        <v>2.71</v>
      </c>
      <c r="D66" s="7">
        <v>23</v>
      </c>
      <c r="E66" s="6">
        <v>6.8</v>
      </c>
      <c r="F66">
        <v>90</v>
      </c>
      <c r="G66" s="3">
        <v>45003.777777777781</v>
      </c>
      <c r="H66" s="3">
        <v>45003.793749999997</v>
      </c>
      <c r="K66" t="s">
        <v>24</v>
      </c>
      <c r="L66" t="s">
        <v>20</v>
      </c>
      <c r="M66" t="str">
        <f>VLOOKUP(Table1[[#This Row],[Job_Status]],$V$2:$W$4,2,FALSE)</f>
        <v>Defect</v>
      </c>
      <c r="N66" s="7">
        <f>VLOOKUP(Table1[[#This Row],[Job_Status]],$V$2:$X$4,3,FALSE)</f>
        <v>100</v>
      </c>
    </row>
    <row r="67" spans="1:14" x14ac:dyDescent="0.3">
      <c r="A67" t="s">
        <v>40</v>
      </c>
      <c r="B67" t="s">
        <v>36</v>
      </c>
      <c r="C67" s="5">
        <v>3.47</v>
      </c>
      <c r="D67" s="7">
        <v>52</v>
      </c>
      <c r="E67" s="6">
        <v>2.09</v>
      </c>
      <c r="F67">
        <v>97</v>
      </c>
      <c r="G67" s="3">
        <v>45003.784722222219</v>
      </c>
      <c r="H67" s="3">
        <v>45003.820833333331</v>
      </c>
      <c r="I67" s="3">
        <v>45003.793749999997</v>
      </c>
      <c r="J67" s="3">
        <v>45003.829861111109</v>
      </c>
      <c r="K67" t="s">
        <v>19</v>
      </c>
      <c r="L67" t="s">
        <v>20</v>
      </c>
      <c r="M67" t="str">
        <f>VLOOKUP(Table1[[#This Row],[Job_Status]],$V$2:$W$4,2,FALSE)</f>
        <v>Good</v>
      </c>
      <c r="N67" s="7">
        <f>VLOOKUP(Table1[[#This Row],[Job_Status]],$V$2:$X$4,3,FALSE)</f>
        <v>0</v>
      </c>
    </row>
    <row r="68" spans="1:14" x14ac:dyDescent="0.3">
      <c r="A68" t="s">
        <v>30</v>
      </c>
      <c r="B68" t="s">
        <v>27</v>
      </c>
      <c r="C68" s="5">
        <v>3.28</v>
      </c>
      <c r="D68" s="7">
        <v>23</v>
      </c>
      <c r="E68" s="6">
        <v>3.79</v>
      </c>
      <c r="F68">
        <v>84</v>
      </c>
      <c r="G68" s="3">
        <v>45003.791666666664</v>
      </c>
      <c r="H68" s="3">
        <v>45003.807638888888</v>
      </c>
      <c r="I68" s="3">
        <v>45003.8</v>
      </c>
      <c r="J68" s="3">
        <v>45003.815972222219</v>
      </c>
      <c r="K68" t="s">
        <v>19</v>
      </c>
      <c r="L68" t="s">
        <v>20</v>
      </c>
      <c r="M68" t="str">
        <f>VLOOKUP(Table1[[#This Row],[Job_Status]],$V$2:$W$4,2,FALSE)</f>
        <v>Good</v>
      </c>
      <c r="N68" s="7">
        <f>VLOOKUP(Table1[[#This Row],[Job_Status]],$V$2:$X$4,3,FALSE)</f>
        <v>0</v>
      </c>
    </row>
    <row r="69" spans="1:14" x14ac:dyDescent="0.3">
      <c r="A69" t="s">
        <v>30</v>
      </c>
      <c r="B69" t="s">
        <v>27</v>
      </c>
      <c r="C69" s="5">
        <v>3.48</v>
      </c>
      <c r="D69" s="7">
        <v>116</v>
      </c>
      <c r="E69" s="6">
        <v>9.64</v>
      </c>
      <c r="F69">
        <v>82</v>
      </c>
      <c r="G69" s="3">
        <v>45003.798611111109</v>
      </c>
      <c r="H69" s="3">
        <v>45003.879166666666</v>
      </c>
      <c r="I69" s="3">
        <v>45003.79791666667</v>
      </c>
      <c r="J69" s="3">
        <v>45003.878472222219</v>
      </c>
      <c r="K69" t="s">
        <v>16</v>
      </c>
      <c r="L69" t="s">
        <v>20</v>
      </c>
      <c r="M69" t="str">
        <f>VLOOKUP(Table1[[#This Row],[Job_Status]],$V$2:$W$4,2,FALSE)</f>
        <v>Good</v>
      </c>
      <c r="N69" s="7">
        <f>VLOOKUP(Table1[[#This Row],[Job_Status]],$V$2:$X$4,3,FALSE)</f>
        <v>0</v>
      </c>
    </row>
    <row r="70" spans="1:14" x14ac:dyDescent="0.3">
      <c r="A70" t="s">
        <v>22</v>
      </c>
      <c r="B70" t="s">
        <v>23</v>
      </c>
      <c r="C70" s="5">
        <v>2.61</v>
      </c>
      <c r="D70" s="7">
        <v>29</v>
      </c>
      <c r="E70" s="6">
        <v>9.58</v>
      </c>
      <c r="F70">
        <v>80</v>
      </c>
      <c r="G70" s="3">
        <v>45003.805555555555</v>
      </c>
      <c r="H70" s="3">
        <v>45003.825694444444</v>
      </c>
      <c r="I70" s="3">
        <v>45003.806250000001</v>
      </c>
      <c r="J70" s="3">
        <v>45003.826388888891</v>
      </c>
      <c r="K70" t="s">
        <v>16</v>
      </c>
      <c r="L70" t="s">
        <v>17</v>
      </c>
      <c r="M70" t="str">
        <f>VLOOKUP(Table1[[#This Row],[Job_Status]],$V$2:$W$4,2,FALSE)</f>
        <v>Good</v>
      </c>
      <c r="N70" s="7">
        <f>VLOOKUP(Table1[[#This Row],[Job_Status]],$V$2:$X$4,3,FALSE)</f>
        <v>0</v>
      </c>
    </row>
    <row r="71" spans="1:14" x14ac:dyDescent="0.3">
      <c r="A71" t="s">
        <v>22</v>
      </c>
      <c r="B71" t="s">
        <v>36</v>
      </c>
      <c r="C71" s="5">
        <v>3.37</v>
      </c>
      <c r="D71" s="7">
        <v>54</v>
      </c>
      <c r="E71" s="6">
        <v>2.46</v>
      </c>
      <c r="F71">
        <v>82</v>
      </c>
      <c r="G71" s="3">
        <v>45003.8125</v>
      </c>
      <c r="H71" s="3">
        <v>45003.85</v>
      </c>
      <c r="K71" t="s">
        <v>24</v>
      </c>
      <c r="L71" t="s">
        <v>20</v>
      </c>
      <c r="M71" t="str">
        <f>VLOOKUP(Table1[[#This Row],[Job_Status]],$V$2:$W$4,2,FALSE)</f>
        <v>Defect</v>
      </c>
      <c r="N71" s="7">
        <f>VLOOKUP(Table1[[#This Row],[Job_Status]],$V$2:$X$4,3,FALSE)</f>
        <v>100</v>
      </c>
    </row>
    <row r="72" spans="1:14" x14ac:dyDescent="0.3">
      <c r="A72" t="s">
        <v>22</v>
      </c>
      <c r="B72" t="s">
        <v>32</v>
      </c>
      <c r="C72" s="5">
        <v>2.62</v>
      </c>
      <c r="D72" s="7">
        <v>25</v>
      </c>
      <c r="E72" s="6">
        <v>7.29</v>
      </c>
      <c r="F72">
        <v>95</v>
      </c>
      <c r="G72" s="3">
        <v>45003.819444444445</v>
      </c>
      <c r="H72" s="3">
        <v>45003.836805555555</v>
      </c>
      <c r="I72" s="3">
        <v>45003.818055555559</v>
      </c>
      <c r="J72" s="3">
        <v>45003.835416666669</v>
      </c>
      <c r="K72" t="s">
        <v>16</v>
      </c>
      <c r="L72" t="s">
        <v>20</v>
      </c>
      <c r="M72" t="str">
        <f>VLOOKUP(Table1[[#This Row],[Job_Status]],$V$2:$W$4,2,FALSE)</f>
        <v>Good</v>
      </c>
      <c r="N72" s="7">
        <f>VLOOKUP(Table1[[#This Row],[Job_Status]],$V$2:$X$4,3,FALSE)</f>
        <v>0</v>
      </c>
    </row>
    <row r="73" spans="1:14" x14ac:dyDescent="0.3">
      <c r="A73" t="s">
        <v>34</v>
      </c>
      <c r="B73" t="s">
        <v>15</v>
      </c>
      <c r="C73" s="5">
        <v>3.52</v>
      </c>
      <c r="D73" s="7">
        <v>68</v>
      </c>
      <c r="E73" s="6">
        <v>6.05</v>
      </c>
      <c r="F73">
        <v>99</v>
      </c>
      <c r="G73" s="3">
        <v>45003.826388888891</v>
      </c>
      <c r="H73" s="3">
        <v>45003.873611111114</v>
      </c>
      <c r="I73" s="3">
        <v>45003.82708333333</v>
      </c>
      <c r="J73" s="3">
        <v>45003.874305555553</v>
      </c>
      <c r="K73" t="s">
        <v>16</v>
      </c>
      <c r="L73" t="s">
        <v>28</v>
      </c>
      <c r="M73" t="str">
        <f>VLOOKUP(Table1[[#This Row],[Job_Status]],$V$2:$W$4,2,FALSE)</f>
        <v>Good</v>
      </c>
      <c r="N73" s="7">
        <f>VLOOKUP(Table1[[#This Row],[Job_Status]],$V$2:$X$4,3,FALSE)</f>
        <v>0</v>
      </c>
    </row>
    <row r="74" spans="1:14" x14ac:dyDescent="0.3">
      <c r="A74" t="s">
        <v>22</v>
      </c>
      <c r="B74" t="s">
        <v>36</v>
      </c>
      <c r="C74" s="5">
        <v>4.17</v>
      </c>
      <c r="D74" s="7">
        <v>112</v>
      </c>
      <c r="E74" s="6">
        <v>11.57</v>
      </c>
      <c r="F74">
        <v>89</v>
      </c>
      <c r="G74" s="3">
        <v>45003.833333333336</v>
      </c>
      <c r="H74" s="3">
        <v>45003.911111111112</v>
      </c>
      <c r="I74" s="3">
        <v>45003.834722222222</v>
      </c>
      <c r="J74" s="3">
        <v>45003.912499999999</v>
      </c>
      <c r="K74" t="s">
        <v>16</v>
      </c>
      <c r="L74" t="s">
        <v>17</v>
      </c>
      <c r="M74" t="str">
        <f>VLOOKUP(Table1[[#This Row],[Job_Status]],$V$2:$W$4,2,FALSE)</f>
        <v>Good</v>
      </c>
      <c r="N74" s="7">
        <f>VLOOKUP(Table1[[#This Row],[Job_Status]],$V$2:$X$4,3,FALSE)</f>
        <v>0</v>
      </c>
    </row>
    <row r="75" spans="1:14" x14ac:dyDescent="0.3">
      <c r="A75" t="s">
        <v>22</v>
      </c>
      <c r="B75" t="s">
        <v>32</v>
      </c>
      <c r="C75" s="5">
        <v>3.72</v>
      </c>
      <c r="D75" s="7">
        <v>65</v>
      </c>
      <c r="E75" s="6">
        <v>12.97</v>
      </c>
      <c r="F75">
        <v>86</v>
      </c>
      <c r="G75" s="3">
        <v>45003.840277777781</v>
      </c>
      <c r="H75" s="3">
        <v>45003.885416666664</v>
      </c>
      <c r="I75" s="3">
        <v>45003.842361111114</v>
      </c>
      <c r="J75" s="3">
        <v>45003.887499999997</v>
      </c>
      <c r="K75" t="s">
        <v>16</v>
      </c>
      <c r="L75" t="s">
        <v>17</v>
      </c>
      <c r="M75" t="str">
        <f>VLOOKUP(Table1[[#This Row],[Job_Status]],$V$2:$W$4,2,FALSE)</f>
        <v>Good</v>
      </c>
      <c r="N75" s="7">
        <f>VLOOKUP(Table1[[#This Row],[Job_Status]],$V$2:$X$4,3,FALSE)</f>
        <v>0</v>
      </c>
    </row>
    <row r="76" spans="1:14" x14ac:dyDescent="0.3">
      <c r="A76" t="s">
        <v>34</v>
      </c>
      <c r="B76" t="s">
        <v>23</v>
      </c>
      <c r="C76" s="5">
        <v>3.55</v>
      </c>
      <c r="D76" s="7">
        <v>85</v>
      </c>
      <c r="E76" s="6">
        <v>7.52</v>
      </c>
      <c r="F76">
        <v>84</v>
      </c>
      <c r="G76" s="3">
        <v>45003.847222222219</v>
      </c>
      <c r="H76" s="3">
        <v>45003.90625</v>
      </c>
      <c r="I76" s="3">
        <v>45003.848611111112</v>
      </c>
      <c r="J76" s="3">
        <v>45003.907638888886</v>
      </c>
      <c r="K76" t="s">
        <v>16</v>
      </c>
      <c r="L76" t="s">
        <v>28</v>
      </c>
      <c r="M76" t="str">
        <f>VLOOKUP(Table1[[#This Row],[Job_Status]],$V$2:$W$4,2,FALSE)</f>
        <v>Good</v>
      </c>
      <c r="N76" s="7">
        <f>VLOOKUP(Table1[[#This Row],[Job_Status]],$V$2:$X$4,3,FALSE)</f>
        <v>0</v>
      </c>
    </row>
    <row r="77" spans="1:14" x14ac:dyDescent="0.3">
      <c r="A77" t="s">
        <v>14</v>
      </c>
      <c r="B77" t="s">
        <v>32</v>
      </c>
      <c r="C77" s="5">
        <v>1.99</v>
      </c>
      <c r="D77" s="7">
        <v>99</v>
      </c>
      <c r="E77" s="6">
        <v>10.01</v>
      </c>
      <c r="F77">
        <v>90</v>
      </c>
      <c r="G77" s="3">
        <v>45003.854166666664</v>
      </c>
      <c r="H77" s="3">
        <v>45003.92291666667</v>
      </c>
      <c r="K77" t="s">
        <v>24</v>
      </c>
      <c r="L77" t="s">
        <v>20</v>
      </c>
      <c r="M77" t="str">
        <f>VLOOKUP(Table1[[#This Row],[Job_Status]],$V$2:$W$4,2,FALSE)</f>
        <v>Defect</v>
      </c>
      <c r="N77" s="7">
        <f>VLOOKUP(Table1[[#This Row],[Job_Status]],$V$2:$X$4,3,FALSE)</f>
        <v>100</v>
      </c>
    </row>
    <row r="78" spans="1:14" x14ac:dyDescent="0.3">
      <c r="A78" t="s">
        <v>14</v>
      </c>
      <c r="B78" t="s">
        <v>32</v>
      </c>
      <c r="C78" s="5">
        <v>3.46</v>
      </c>
      <c r="D78" s="7">
        <v>62</v>
      </c>
      <c r="E78" s="6">
        <v>7.46</v>
      </c>
      <c r="F78">
        <v>84</v>
      </c>
      <c r="G78" s="3">
        <v>45003.861111111109</v>
      </c>
      <c r="H78" s="3">
        <v>45003.904166666667</v>
      </c>
      <c r="I78" s="3">
        <v>45003.861111111109</v>
      </c>
      <c r="J78" s="3">
        <v>45003.904166666667</v>
      </c>
      <c r="K78" t="s">
        <v>16</v>
      </c>
      <c r="L78" t="s">
        <v>28</v>
      </c>
      <c r="M78" t="str">
        <f>VLOOKUP(Table1[[#This Row],[Job_Status]],$V$2:$W$4,2,FALSE)</f>
        <v>Good</v>
      </c>
      <c r="N78" s="7">
        <f>VLOOKUP(Table1[[#This Row],[Job_Status]],$V$2:$X$4,3,FALSE)</f>
        <v>0</v>
      </c>
    </row>
    <row r="79" spans="1:14" x14ac:dyDescent="0.3">
      <c r="A79" t="s">
        <v>30</v>
      </c>
      <c r="B79" t="s">
        <v>32</v>
      </c>
      <c r="C79" s="5">
        <v>2.08</v>
      </c>
      <c r="D79" s="7">
        <v>107</v>
      </c>
      <c r="E79" s="6">
        <v>2.2000000000000002</v>
      </c>
      <c r="F79">
        <v>89</v>
      </c>
      <c r="G79" s="3">
        <v>45003.868055555555</v>
      </c>
      <c r="H79" s="3">
        <v>45003.942361111112</v>
      </c>
      <c r="I79" s="3">
        <v>45003.876388888886</v>
      </c>
      <c r="J79" s="3">
        <v>45003.950694444444</v>
      </c>
      <c r="K79" t="s">
        <v>19</v>
      </c>
      <c r="L79" t="s">
        <v>20</v>
      </c>
      <c r="M79" t="str">
        <f>VLOOKUP(Table1[[#This Row],[Job_Status]],$V$2:$W$4,2,FALSE)</f>
        <v>Good</v>
      </c>
      <c r="N79" s="7">
        <f>VLOOKUP(Table1[[#This Row],[Job_Status]],$V$2:$X$4,3,FALSE)</f>
        <v>0</v>
      </c>
    </row>
    <row r="80" spans="1:14" x14ac:dyDescent="0.3">
      <c r="A80" t="s">
        <v>34</v>
      </c>
      <c r="B80" t="s">
        <v>32</v>
      </c>
      <c r="C80" s="5">
        <v>4.55</v>
      </c>
      <c r="D80" s="7">
        <v>84</v>
      </c>
      <c r="E80" s="6">
        <v>7.43</v>
      </c>
      <c r="F80">
        <v>97</v>
      </c>
      <c r="G80" s="3">
        <v>45003.875</v>
      </c>
      <c r="H80" s="3">
        <v>45003.933333333334</v>
      </c>
      <c r="I80" s="3">
        <v>45003.88958333333</v>
      </c>
      <c r="J80" s="3">
        <v>45003.947916666664</v>
      </c>
      <c r="K80" t="s">
        <v>19</v>
      </c>
      <c r="L80" t="s">
        <v>20</v>
      </c>
      <c r="M80" t="str">
        <f>VLOOKUP(Table1[[#This Row],[Job_Status]],$V$2:$W$4,2,FALSE)</f>
        <v>Good</v>
      </c>
      <c r="N80" s="7">
        <f>VLOOKUP(Table1[[#This Row],[Job_Status]],$V$2:$X$4,3,FALSE)</f>
        <v>0</v>
      </c>
    </row>
    <row r="81" spans="1:14" x14ac:dyDescent="0.3">
      <c r="A81" t="s">
        <v>22</v>
      </c>
      <c r="B81" t="s">
        <v>15</v>
      </c>
      <c r="C81" s="5">
        <v>2.11</v>
      </c>
      <c r="D81" s="7">
        <v>82</v>
      </c>
      <c r="E81" s="6">
        <v>14.62</v>
      </c>
      <c r="F81">
        <v>89</v>
      </c>
      <c r="G81" s="3">
        <v>45003.881944444445</v>
      </c>
      <c r="H81" s="3">
        <v>45003.938888888886</v>
      </c>
      <c r="I81" s="3">
        <v>45003.880555555559</v>
      </c>
      <c r="J81" s="3">
        <v>45003.9375</v>
      </c>
      <c r="K81" t="s">
        <v>16</v>
      </c>
      <c r="L81" t="s">
        <v>20</v>
      </c>
      <c r="M81" t="str">
        <f>VLOOKUP(Table1[[#This Row],[Job_Status]],$V$2:$W$4,2,FALSE)</f>
        <v>Good</v>
      </c>
      <c r="N81" s="7">
        <f>VLOOKUP(Table1[[#This Row],[Job_Status]],$V$2:$X$4,3,FALSE)</f>
        <v>0</v>
      </c>
    </row>
    <row r="82" spans="1:14" x14ac:dyDescent="0.3">
      <c r="A82" t="s">
        <v>30</v>
      </c>
      <c r="B82" t="s">
        <v>23</v>
      </c>
      <c r="C82" s="5">
        <v>4.01</v>
      </c>
      <c r="D82" s="7">
        <v>69</v>
      </c>
      <c r="E82" s="6">
        <v>11.72</v>
      </c>
      <c r="F82">
        <v>88</v>
      </c>
      <c r="G82" s="3">
        <v>45003.888888888891</v>
      </c>
      <c r="H82" s="3">
        <v>45003.936805555553</v>
      </c>
      <c r="I82" s="3">
        <v>45003.886805555558</v>
      </c>
      <c r="J82" s="3">
        <v>45003.93472222222</v>
      </c>
      <c r="K82" t="s">
        <v>16</v>
      </c>
      <c r="L82" t="s">
        <v>20</v>
      </c>
      <c r="M82" t="str">
        <f>VLOOKUP(Table1[[#This Row],[Job_Status]],$V$2:$W$4,2,FALSE)</f>
        <v>Good</v>
      </c>
      <c r="N82" s="7">
        <f>VLOOKUP(Table1[[#This Row],[Job_Status]],$V$2:$X$4,3,FALSE)</f>
        <v>0</v>
      </c>
    </row>
    <row r="83" spans="1:14" x14ac:dyDescent="0.3">
      <c r="A83" t="s">
        <v>14</v>
      </c>
      <c r="B83" t="s">
        <v>36</v>
      </c>
      <c r="C83" s="5">
        <v>1.73</v>
      </c>
      <c r="D83" s="7">
        <v>24</v>
      </c>
      <c r="E83" s="6">
        <v>13.39</v>
      </c>
      <c r="F83">
        <v>98</v>
      </c>
      <c r="G83" s="3">
        <v>45003.895833333336</v>
      </c>
      <c r="H83" s="3">
        <v>45003.912499999999</v>
      </c>
      <c r="I83" s="3">
        <v>45003.893055555556</v>
      </c>
      <c r="J83" s="3">
        <v>45003.909722222219</v>
      </c>
      <c r="K83" t="s">
        <v>16</v>
      </c>
      <c r="L83" t="s">
        <v>20</v>
      </c>
      <c r="M83" t="str">
        <f>VLOOKUP(Table1[[#This Row],[Job_Status]],$V$2:$W$4,2,FALSE)</f>
        <v>Good</v>
      </c>
      <c r="N83" s="7">
        <f>VLOOKUP(Table1[[#This Row],[Job_Status]],$V$2:$X$4,3,FALSE)</f>
        <v>0</v>
      </c>
    </row>
    <row r="84" spans="1:14" x14ac:dyDescent="0.3">
      <c r="A84" t="s">
        <v>40</v>
      </c>
      <c r="B84" t="s">
        <v>36</v>
      </c>
      <c r="C84" s="5">
        <v>4.1500000000000004</v>
      </c>
      <c r="D84" s="7">
        <v>59</v>
      </c>
      <c r="E84" s="6">
        <v>12.15</v>
      </c>
      <c r="F84">
        <v>85</v>
      </c>
      <c r="G84" s="3">
        <v>45003.902777777781</v>
      </c>
      <c r="H84" s="3">
        <v>45003.943749999999</v>
      </c>
      <c r="I84" s="3">
        <v>45003.90347222222</v>
      </c>
      <c r="J84" s="3">
        <v>45003.944444444445</v>
      </c>
      <c r="K84" t="s">
        <v>16</v>
      </c>
      <c r="L84" t="s">
        <v>17</v>
      </c>
      <c r="M84" t="str">
        <f>VLOOKUP(Table1[[#This Row],[Job_Status]],$V$2:$W$4,2,FALSE)</f>
        <v>Good</v>
      </c>
      <c r="N84" s="7">
        <f>VLOOKUP(Table1[[#This Row],[Job_Status]],$V$2:$X$4,3,FALSE)</f>
        <v>0</v>
      </c>
    </row>
    <row r="85" spans="1:14" x14ac:dyDescent="0.3">
      <c r="A85" t="s">
        <v>34</v>
      </c>
      <c r="B85" t="s">
        <v>36</v>
      </c>
      <c r="C85" s="5">
        <v>1.19</v>
      </c>
      <c r="D85" s="7">
        <v>77</v>
      </c>
      <c r="E85" s="6">
        <v>11.36</v>
      </c>
      <c r="F85">
        <v>95</v>
      </c>
      <c r="G85" s="3">
        <v>45003.909722222219</v>
      </c>
      <c r="H85" s="3">
        <v>45003.963194444441</v>
      </c>
      <c r="I85" s="3">
        <v>45003.92083333333</v>
      </c>
      <c r="J85" s="3">
        <v>45003.974305555559</v>
      </c>
      <c r="K85" t="s">
        <v>19</v>
      </c>
      <c r="L85" t="s">
        <v>20</v>
      </c>
      <c r="M85" t="str">
        <f>VLOOKUP(Table1[[#This Row],[Job_Status]],$V$2:$W$4,2,FALSE)</f>
        <v>Good</v>
      </c>
      <c r="N85" s="7">
        <f>VLOOKUP(Table1[[#This Row],[Job_Status]],$V$2:$X$4,3,FALSE)</f>
        <v>0</v>
      </c>
    </row>
    <row r="86" spans="1:14" x14ac:dyDescent="0.3">
      <c r="A86" t="s">
        <v>30</v>
      </c>
      <c r="B86" t="s">
        <v>27</v>
      </c>
      <c r="C86" s="5">
        <v>3.38</v>
      </c>
      <c r="D86" s="7">
        <v>44</v>
      </c>
      <c r="E86" s="6">
        <v>3.35</v>
      </c>
      <c r="F86">
        <v>87</v>
      </c>
      <c r="G86" s="3">
        <v>45003.916666666664</v>
      </c>
      <c r="H86" s="3">
        <v>45003.947222222225</v>
      </c>
      <c r="I86" s="3">
        <v>45003.916666666664</v>
      </c>
      <c r="J86" s="3">
        <v>45003.947222222225</v>
      </c>
      <c r="K86" t="s">
        <v>16</v>
      </c>
      <c r="L86" t="s">
        <v>28</v>
      </c>
      <c r="M86" t="str">
        <f>VLOOKUP(Table1[[#This Row],[Job_Status]],$V$2:$W$4,2,FALSE)</f>
        <v>Good</v>
      </c>
      <c r="N86" s="7">
        <f>VLOOKUP(Table1[[#This Row],[Job_Status]],$V$2:$X$4,3,FALSE)</f>
        <v>0</v>
      </c>
    </row>
    <row r="87" spans="1:14" x14ac:dyDescent="0.3">
      <c r="A87" t="s">
        <v>34</v>
      </c>
      <c r="B87" t="s">
        <v>36</v>
      </c>
      <c r="C87" s="5">
        <v>2.77</v>
      </c>
      <c r="D87" s="7">
        <v>77</v>
      </c>
      <c r="E87" s="6">
        <v>14.07</v>
      </c>
      <c r="F87">
        <v>93</v>
      </c>
      <c r="G87" s="3">
        <v>45003.923611111109</v>
      </c>
      <c r="H87" s="3">
        <v>45003.977083333331</v>
      </c>
      <c r="I87" s="3">
        <v>45003.925000000003</v>
      </c>
      <c r="J87" s="3">
        <v>45003.978472222225</v>
      </c>
      <c r="K87" t="s">
        <v>16</v>
      </c>
      <c r="L87" t="s">
        <v>17</v>
      </c>
      <c r="M87" t="str">
        <f>VLOOKUP(Table1[[#This Row],[Job_Status]],$V$2:$W$4,2,FALSE)</f>
        <v>Good</v>
      </c>
      <c r="N87" s="7">
        <f>VLOOKUP(Table1[[#This Row],[Job_Status]],$V$2:$X$4,3,FALSE)</f>
        <v>0</v>
      </c>
    </row>
    <row r="88" spans="1:14" x14ac:dyDescent="0.3">
      <c r="A88" t="s">
        <v>40</v>
      </c>
      <c r="B88" t="s">
        <v>27</v>
      </c>
      <c r="C88" s="5">
        <v>2.33</v>
      </c>
      <c r="D88" s="7">
        <v>59</v>
      </c>
      <c r="E88" s="6">
        <v>14.83</v>
      </c>
      <c r="F88">
        <v>98</v>
      </c>
      <c r="G88" s="3">
        <v>45003.930555555555</v>
      </c>
      <c r="H88" s="3">
        <v>45003.97152777778</v>
      </c>
      <c r="I88" s="3">
        <v>45003.938888888886</v>
      </c>
      <c r="J88" s="3">
        <v>45003.979861111111</v>
      </c>
      <c r="K88" t="s">
        <v>19</v>
      </c>
      <c r="L88" t="s">
        <v>20</v>
      </c>
      <c r="M88" t="str">
        <f>VLOOKUP(Table1[[#This Row],[Job_Status]],$V$2:$W$4,2,FALSE)</f>
        <v>Good</v>
      </c>
      <c r="N88" s="7">
        <f>VLOOKUP(Table1[[#This Row],[Job_Status]],$V$2:$X$4,3,FALSE)</f>
        <v>0</v>
      </c>
    </row>
    <row r="89" spans="1:14" x14ac:dyDescent="0.3">
      <c r="A89" t="s">
        <v>22</v>
      </c>
      <c r="B89" t="s">
        <v>23</v>
      </c>
      <c r="C89" s="5">
        <v>1.36</v>
      </c>
      <c r="D89" s="7">
        <v>60</v>
      </c>
      <c r="E89" s="6">
        <v>9.56</v>
      </c>
      <c r="F89">
        <v>94</v>
      </c>
      <c r="G89" s="3">
        <v>45003.9375</v>
      </c>
      <c r="H89" s="3">
        <v>45003.979166666664</v>
      </c>
      <c r="I89" s="3">
        <v>45003.93472222222</v>
      </c>
      <c r="J89" s="3">
        <v>45003.976388888892</v>
      </c>
      <c r="K89" t="s">
        <v>16</v>
      </c>
      <c r="L89" t="s">
        <v>20</v>
      </c>
      <c r="M89" t="str">
        <f>VLOOKUP(Table1[[#This Row],[Job_Status]],$V$2:$W$4,2,FALSE)</f>
        <v>Good</v>
      </c>
      <c r="N89" s="7">
        <f>VLOOKUP(Table1[[#This Row],[Job_Status]],$V$2:$X$4,3,FALSE)</f>
        <v>0</v>
      </c>
    </row>
    <row r="90" spans="1:14" x14ac:dyDescent="0.3">
      <c r="A90" t="s">
        <v>22</v>
      </c>
      <c r="B90" t="s">
        <v>15</v>
      </c>
      <c r="C90" s="5">
        <v>4.66</v>
      </c>
      <c r="D90" s="7">
        <v>55</v>
      </c>
      <c r="E90" s="6">
        <v>14.16</v>
      </c>
      <c r="F90">
        <v>81</v>
      </c>
      <c r="G90" s="3">
        <v>45003.944444444445</v>
      </c>
      <c r="H90" s="3">
        <v>45003.982638888891</v>
      </c>
      <c r="I90" s="3">
        <v>45003.940972222219</v>
      </c>
      <c r="J90" s="3">
        <v>45003.979166666664</v>
      </c>
      <c r="K90" t="s">
        <v>16</v>
      </c>
      <c r="L90" t="s">
        <v>20</v>
      </c>
      <c r="M90" t="str">
        <f>VLOOKUP(Table1[[#This Row],[Job_Status]],$V$2:$W$4,2,FALSE)</f>
        <v>Good</v>
      </c>
      <c r="N90" s="7">
        <f>VLOOKUP(Table1[[#This Row],[Job_Status]],$V$2:$X$4,3,FALSE)</f>
        <v>0</v>
      </c>
    </row>
    <row r="91" spans="1:14" x14ac:dyDescent="0.3">
      <c r="A91" t="s">
        <v>30</v>
      </c>
      <c r="B91" t="s">
        <v>27</v>
      </c>
      <c r="C91" s="5">
        <v>2.38</v>
      </c>
      <c r="D91" s="7">
        <v>27</v>
      </c>
      <c r="E91" s="6">
        <v>12.34</v>
      </c>
      <c r="F91">
        <v>99</v>
      </c>
      <c r="G91" s="3">
        <v>45003.951388888891</v>
      </c>
      <c r="H91" s="3">
        <v>45003.970138888886</v>
      </c>
      <c r="I91" s="3">
        <v>45003.961805555555</v>
      </c>
      <c r="J91" s="3">
        <v>45003.980555555558</v>
      </c>
      <c r="K91" t="s">
        <v>19</v>
      </c>
      <c r="L91" t="s">
        <v>20</v>
      </c>
      <c r="M91" t="str">
        <f>VLOOKUP(Table1[[#This Row],[Job_Status]],$V$2:$W$4,2,FALSE)</f>
        <v>Good</v>
      </c>
      <c r="N91" s="7">
        <f>VLOOKUP(Table1[[#This Row],[Job_Status]],$V$2:$X$4,3,FALSE)</f>
        <v>0</v>
      </c>
    </row>
    <row r="92" spans="1:14" x14ac:dyDescent="0.3">
      <c r="A92" t="s">
        <v>30</v>
      </c>
      <c r="B92" t="s">
        <v>15</v>
      </c>
      <c r="C92" s="5">
        <v>4.8600000000000003</v>
      </c>
      <c r="D92" s="7">
        <v>60</v>
      </c>
      <c r="E92" s="6">
        <v>14.6</v>
      </c>
      <c r="F92">
        <v>83</v>
      </c>
      <c r="G92" s="3">
        <v>45003.958333333336</v>
      </c>
      <c r="H92" s="3">
        <v>45004</v>
      </c>
      <c r="I92" s="3">
        <v>45003.957638888889</v>
      </c>
      <c r="J92" s="3">
        <v>45003.999305555553</v>
      </c>
      <c r="K92" t="s">
        <v>16</v>
      </c>
      <c r="L92" t="s">
        <v>20</v>
      </c>
      <c r="M92" t="str">
        <f>VLOOKUP(Table1[[#This Row],[Job_Status]],$V$2:$W$4,2,FALSE)</f>
        <v>Good</v>
      </c>
      <c r="N92" s="7">
        <f>VLOOKUP(Table1[[#This Row],[Job_Status]],$V$2:$X$4,3,FALSE)</f>
        <v>0</v>
      </c>
    </row>
    <row r="93" spans="1:14" x14ac:dyDescent="0.3">
      <c r="A93" t="s">
        <v>40</v>
      </c>
      <c r="B93" t="s">
        <v>32</v>
      </c>
      <c r="C93" s="5">
        <v>4.8499999999999996</v>
      </c>
      <c r="D93" s="7">
        <v>90</v>
      </c>
      <c r="E93" s="6">
        <v>8.14</v>
      </c>
      <c r="F93">
        <v>96</v>
      </c>
      <c r="G93" s="3">
        <v>45003.965277777781</v>
      </c>
      <c r="H93" s="3">
        <v>45004.027777777781</v>
      </c>
      <c r="K93" t="s">
        <v>24</v>
      </c>
      <c r="L93" t="s">
        <v>20</v>
      </c>
      <c r="M93" t="str">
        <f>VLOOKUP(Table1[[#This Row],[Job_Status]],$V$2:$W$4,2,FALSE)</f>
        <v>Defect</v>
      </c>
      <c r="N93" s="7">
        <f>VLOOKUP(Table1[[#This Row],[Job_Status]],$V$2:$X$4,3,FALSE)</f>
        <v>100</v>
      </c>
    </row>
    <row r="94" spans="1:14" x14ac:dyDescent="0.3">
      <c r="A94" t="s">
        <v>40</v>
      </c>
      <c r="B94" t="s">
        <v>27</v>
      </c>
      <c r="C94" s="5">
        <v>1.63</v>
      </c>
      <c r="D94" s="7">
        <v>86</v>
      </c>
      <c r="E94" s="6">
        <v>9.92</v>
      </c>
      <c r="F94">
        <v>98</v>
      </c>
      <c r="G94" s="3">
        <v>45003.972222222219</v>
      </c>
      <c r="H94" s="3">
        <v>45004.031944444447</v>
      </c>
      <c r="I94" s="3">
        <v>45003.980555555558</v>
      </c>
      <c r="J94" s="3">
        <v>45004.040277777778</v>
      </c>
      <c r="K94" t="s">
        <v>19</v>
      </c>
      <c r="L94" t="s">
        <v>20</v>
      </c>
      <c r="M94" t="str">
        <f>VLOOKUP(Table1[[#This Row],[Job_Status]],$V$2:$W$4,2,FALSE)</f>
        <v>Good</v>
      </c>
      <c r="N94" s="7">
        <f>VLOOKUP(Table1[[#This Row],[Job_Status]],$V$2:$X$4,3,FALSE)</f>
        <v>0</v>
      </c>
    </row>
    <row r="95" spans="1:14" x14ac:dyDescent="0.3">
      <c r="A95" t="s">
        <v>34</v>
      </c>
      <c r="B95" t="s">
        <v>27</v>
      </c>
      <c r="C95" s="5">
        <v>4.43</v>
      </c>
      <c r="D95" s="7">
        <v>51</v>
      </c>
      <c r="E95" s="6">
        <v>7.61</v>
      </c>
      <c r="F95">
        <v>86</v>
      </c>
      <c r="G95" s="3">
        <v>45003.979166666664</v>
      </c>
      <c r="H95" s="3">
        <v>45004.01458333333</v>
      </c>
      <c r="I95" s="3">
        <v>45003.991666666669</v>
      </c>
      <c r="J95" s="3">
        <v>45004.027083333334</v>
      </c>
      <c r="K95" t="s">
        <v>19</v>
      </c>
      <c r="L95" t="s">
        <v>20</v>
      </c>
      <c r="M95" t="str">
        <f>VLOOKUP(Table1[[#This Row],[Job_Status]],$V$2:$W$4,2,FALSE)</f>
        <v>Good</v>
      </c>
      <c r="N95" s="7">
        <f>VLOOKUP(Table1[[#This Row],[Job_Status]],$V$2:$X$4,3,FALSE)</f>
        <v>0</v>
      </c>
    </row>
    <row r="96" spans="1:14" x14ac:dyDescent="0.3">
      <c r="A96" t="s">
        <v>40</v>
      </c>
      <c r="B96" t="s">
        <v>27</v>
      </c>
      <c r="C96" s="5">
        <v>3.43</v>
      </c>
      <c r="D96" s="7">
        <v>113</v>
      </c>
      <c r="E96" s="6">
        <v>9.2200000000000006</v>
      </c>
      <c r="F96">
        <v>89</v>
      </c>
      <c r="G96" s="3">
        <v>45003.986111111109</v>
      </c>
      <c r="H96" s="3">
        <v>45004.064583333333</v>
      </c>
      <c r="I96" s="3">
        <v>45003.984722222223</v>
      </c>
      <c r="J96" s="3">
        <v>45004.063194444447</v>
      </c>
      <c r="K96" t="s">
        <v>16</v>
      </c>
      <c r="L96" t="s">
        <v>20</v>
      </c>
      <c r="M96" t="str">
        <f>VLOOKUP(Table1[[#This Row],[Job_Status]],$V$2:$W$4,2,FALSE)</f>
        <v>Good</v>
      </c>
      <c r="N96" s="7">
        <f>VLOOKUP(Table1[[#This Row],[Job_Status]],$V$2:$X$4,3,FALSE)</f>
        <v>0</v>
      </c>
    </row>
    <row r="97" spans="1:14" x14ac:dyDescent="0.3">
      <c r="A97" t="s">
        <v>34</v>
      </c>
      <c r="B97" t="s">
        <v>32</v>
      </c>
      <c r="C97" s="5">
        <v>4.18</v>
      </c>
      <c r="D97" s="7">
        <v>110</v>
      </c>
      <c r="E97" s="6">
        <v>10.67</v>
      </c>
      <c r="F97">
        <v>99</v>
      </c>
      <c r="G97" s="3">
        <v>45003.993055555555</v>
      </c>
      <c r="H97" s="3">
        <v>45004.069444444445</v>
      </c>
      <c r="I97" s="3">
        <v>45004.013888888891</v>
      </c>
      <c r="J97" s="3">
        <v>45004.090277777781</v>
      </c>
      <c r="K97" t="s">
        <v>19</v>
      </c>
      <c r="L97" t="s">
        <v>20</v>
      </c>
      <c r="M97" t="str">
        <f>VLOOKUP(Table1[[#This Row],[Job_Status]],$V$2:$W$4,2,FALSE)</f>
        <v>Good</v>
      </c>
      <c r="N97" s="7">
        <f>VLOOKUP(Table1[[#This Row],[Job_Status]],$V$2:$X$4,3,FALSE)</f>
        <v>0</v>
      </c>
    </row>
    <row r="98" spans="1:14" x14ac:dyDescent="0.3">
      <c r="A98" t="s">
        <v>22</v>
      </c>
      <c r="B98" t="s">
        <v>36</v>
      </c>
      <c r="C98" s="5">
        <v>3.88</v>
      </c>
      <c r="D98" s="7">
        <v>57</v>
      </c>
      <c r="E98" s="6">
        <v>3.8</v>
      </c>
      <c r="F98">
        <v>87</v>
      </c>
      <c r="G98" s="3">
        <v>45004</v>
      </c>
      <c r="H98" s="3">
        <v>45004.039583333331</v>
      </c>
      <c r="I98" s="3">
        <v>45004.015972222223</v>
      </c>
      <c r="J98" s="3">
        <v>45004.055555555555</v>
      </c>
      <c r="K98" t="s">
        <v>19</v>
      </c>
      <c r="L98" t="s">
        <v>20</v>
      </c>
      <c r="M98" t="str">
        <f>VLOOKUP(Table1[[#This Row],[Job_Status]],$V$2:$W$4,2,FALSE)</f>
        <v>Good</v>
      </c>
      <c r="N98" s="7">
        <f>VLOOKUP(Table1[[#This Row],[Job_Status]],$V$2:$X$4,3,FALSE)</f>
        <v>0</v>
      </c>
    </row>
    <row r="99" spans="1:14" x14ac:dyDescent="0.3">
      <c r="A99" t="s">
        <v>40</v>
      </c>
      <c r="B99" t="s">
        <v>15</v>
      </c>
      <c r="C99" s="5">
        <v>3.87</v>
      </c>
      <c r="D99" s="7">
        <v>91</v>
      </c>
      <c r="E99" s="6">
        <v>14.55</v>
      </c>
      <c r="F99">
        <v>92</v>
      </c>
      <c r="G99" s="3">
        <v>45004.006944444445</v>
      </c>
      <c r="H99" s="3">
        <v>45004.070138888892</v>
      </c>
      <c r="I99" s="3">
        <v>45004.007638888892</v>
      </c>
      <c r="J99" s="3">
        <v>45004.070833333331</v>
      </c>
      <c r="K99" t="s">
        <v>16</v>
      </c>
      <c r="L99" t="s">
        <v>17</v>
      </c>
      <c r="M99" t="str">
        <f>VLOOKUP(Table1[[#This Row],[Job_Status]],$V$2:$W$4,2,FALSE)</f>
        <v>Good</v>
      </c>
      <c r="N99" s="7">
        <f>VLOOKUP(Table1[[#This Row],[Job_Status]],$V$2:$X$4,3,FALSE)</f>
        <v>0</v>
      </c>
    </row>
    <row r="100" spans="1:14" x14ac:dyDescent="0.3">
      <c r="A100" t="s">
        <v>34</v>
      </c>
      <c r="B100" t="s">
        <v>23</v>
      </c>
      <c r="C100" s="5">
        <v>1.79</v>
      </c>
      <c r="D100" s="7">
        <v>33</v>
      </c>
      <c r="E100" s="6">
        <v>3.17</v>
      </c>
      <c r="F100">
        <v>80</v>
      </c>
      <c r="G100" s="3">
        <v>45004.013888888891</v>
      </c>
      <c r="H100" s="3">
        <v>45004.036805555559</v>
      </c>
      <c r="K100" t="s">
        <v>24</v>
      </c>
      <c r="L100" t="s">
        <v>20</v>
      </c>
      <c r="M100" t="str">
        <f>VLOOKUP(Table1[[#This Row],[Job_Status]],$V$2:$W$4,2,FALSE)</f>
        <v>Defect</v>
      </c>
      <c r="N100" s="7">
        <f>VLOOKUP(Table1[[#This Row],[Job_Status]],$V$2:$X$4,3,FALSE)</f>
        <v>100</v>
      </c>
    </row>
    <row r="101" spans="1:14" x14ac:dyDescent="0.3">
      <c r="A101" t="s">
        <v>30</v>
      </c>
      <c r="B101" t="s">
        <v>15</v>
      </c>
      <c r="C101" s="5">
        <v>2.71</v>
      </c>
      <c r="D101" s="7">
        <v>27</v>
      </c>
      <c r="E101" s="6">
        <v>12.24</v>
      </c>
      <c r="F101">
        <v>96</v>
      </c>
      <c r="G101" s="3">
        <v>45004.020833333336</v>
      </c>
      <c r="H101" s="3">
        <v>45004.039583333331</v>
      </c>
      <c r="I101" s="3">
        <v>45004.024305555555</v>
      </c>
      <c r="J101" s="3">
        <v>45004.043055555558</v>
      </c>
      <c r="K101" t="s">
        <v>16</v>
      </c>
      <c r="L101" t="s">
        <v>17</v>
      </c>
      <c r="M101" t="str">
        <f>VLOOKUP(Table1[[#This Row],[Job_Status]],$V$2:$W$4,2,FALSE)</f>
        <v>Good</v>
      </c>
      <c r="N101" s="7">
        <f>VLOOKUP(Table1[[#This Row],[Job_Status]],$V$2:$X$4,3,FALSE)</f>
        <v>0</v>
      </c>
    </row>
    <row r="102" spans="1:14" x14ac:dyDescent="0.3">
      <c r="A102" t="s">
        <v>34</v>
      </c>
      <c r="B102" t="s">
        <v>23</v>
      </c>
      <c r="C102" s="5">
        <v>1.32</v>
      </c>
      <c r="D102" s="7">
        <v>111</v>
      </c>
      <c r="E102" s="6">
        <v>3.88</v>
      </c>
      <c r="F102">
        <v>91</v>
      </c>
      <c r="G102" s="3">
        <v>45010.270833333336</v>
      </c>
      <c r="H102" s="3">
        <v>45010.347916666666</v>
      </c>
      <c r="I102" s="3">
        <v>45010.270138888889</v>
      </c>
      <c r="J102" s="3">
        <v>45010.347222222219</v>
      </c>
      <c r="K102" t="s">
        <v>16</v>
      </c>
      <c r="L102" t="s">
        <v>20</v>
      </c>
      <c r="M102" t="str">
        <f>VLOOKUP(Table1[[#This Row],[Job_Status]],$V$2:$W$4,2,FALSE)</f>
        <v>Good</v>
      </c>
      <c r="N102" s="7">
        <f>VLOOKUP(Table1[[#This Row],[Job_Status]],$V$2:$X$4,3,FALSE)</f>
        <v>0</v>
      </c>
    </row>
    <row r="103" spans="1:14" x14ac:dyDescent="0.3">
      <c r="A103" t="s">
        <v>34</v>
      </c>
      <c r="B103" t="s">
        <v>23</v>
      </c>
      <c r="C103" s="5">
        <v>4.8</v>
      </c>
      <c r="D103" s="7">
        <v>37</v>
      </c>
      <c r="E103" s="6">
        <v>4.7300000000000004</v>
      </c>
      <c r="F103">
        <v>92</v>
      </c>
      <c r="G103" s="3">
        <v>45004.027777777781</v>
      </c>
      <c r="H103" s="3">
        <v>45004.053472222222</v>
      </c>
      <c r="I103" s="3">
        <v>45004.025694444441</v>
      </c>
      <c r="J103" s="3">
        <v>45004.051388888889</v>
      </c>
      <c r="K103" t="s">
        <v>16</v>
      </c>
      <c r="L103" t="s">
        <v>20</v>
      </c>
      <c r="M103" t="str">
        <f>VLOOKUP(Table1[[#This Row],[Job_Status]],$V$2:$W$4,2,FALSE)</f>
        <v>Good</v>
      </c>
      <c r="N103" s="7">
        <f>VLOOKUP(Table1[[#This Row],[Job_Status]],$V$2:$X$4,3,FALSE)</f>
        <v>0</v>
      </c>
    </row>
    <row r="104" spans="1:14" x14ac:dyDescent="0.3">
      <c r="A104" t="s">
        <v>22</v>
      </c>
      <c r="B104" t="s">
        <v>15</v>
      </c>
      <c r="C104" s="5">
        <v>4.96</v>
      </c>
      <c r="D104" s="7">
        <v>110</v>
      </c>
      <c r="E104" s="6">
        <v>14.56</v>
      </c>
      <c r="F104">
        <v>88</v>
      </c>
      <c r="G104" s="3">
        <v>45004.034722222219</v>
      </c>
      <c r="H104" s="3">
        <v>45004.111111111109</v>
      </c>
      <c r="I104" s="3">
        <v>45004.03402777778</v>
      </c>
      <c r="J104" s="3">
        <v>45004.11041666667</v>
      </c>
      <c r="K104" t="s">
        <v>16</v>
      </c>
      <c r="L104" t="s">
        <v>20</v>
      </c>
      <c r="M104" t="str">
        <f>VLOOKUP(Table1[[#This Row],[Job_Status]],$V$2:$W$4,2,FALSE)</f>
        <v>Good</v>
      </c>
      <c r="N104" s="7">
        <f>VLOOKUP(Table1[[#This Row],[Job_Status]],$V$2:$X$4,3,FALSE)</f>
        <v>0</v>
      </c>
    </row>
    <row r="105" spans="1:14" x14ac:dyDescent="0.3">
      <c r="A105" t="s">
        <v>34</v>
      </c>
      <c r="B105" t="s">
        <v>27</v>
      </c>
      <c r="C105" s="5">
        <v>2.54</v>
      </c>
      <c r="D105" s="7">
        <v>105</v>
      </c>
      <c r="E105" s="6">
        <v>9.9700000000000006</v>
      </c>
      <c r="F105">
        <v>96</v>
      </c>
      <c r="G105" s="3">
        <v>45004.041666666664</v>
      </c>
      <c r="H105" s="3">
        <v>45004.114583333336</v>
      </c>
      <c r="I105" s="3">
        <v>45004.051388888889</v>
      </c>
      <c r="J105" s="3">
        <v>45004.124305555553</v>
      </c>
      <c r="K105" t="s">
        <v>19</v>
      </c>
      <c r="L105" t="s">
        <v>20</v>
      </c>
      <c r="M105" t="str">
        <f>VLOOKUP(Table1[[#This Row],[Job_Status]],$V$2:$W$4,2,FALSE)</f>
        <v>Good</v>
      </c>
      <c r="N105" s="7">
        <f>VLOOKUP(Table1[[#This Row],[Job_Status]],$V$2:$X$4,3,FALSE)</f>
        <v>0</v>
      </c>
    </row>
    <row r="106" spans="1:14" x14ac:dyDescent="0.3">
      <c r="A106" t="s">
        <v>34</v>
      </c>
      <c r="B106" t="s">
        <v>32</v>
      </c>
      <c r="C106" s="5">
        <v>3.6</v>
      </c>
      <c r="D106" s="7">
        <v>62</v>
      </c>
      <c r="E106" s="6">
        <v>8.4499999999999993</v>
      </c>
      <c r="F106">
        <v>87</v>
      </c>
      <c r="G106" s="3">
        <v>45004.048611111109</v>
      </c>
      <c r="H106" s="3">
        <v>45004.091666666667</v>
      </c>
      <c r="I106" s="3">
        <v>45004.045138888891</v>
      </c>
      <c r="J106" s="3">
        <v>45004.088194444441</v>
      </c>
      <c r="K106" t="s">
        <v>16</v>
      </c>
      <c r="L106" t="s">
        <v>20</v>
      </c>
      <c r="M106" t="str">
        <f>VLOOKUP(Table1[[#This Row],[Job_Status]],$V$2:$W$4,2,FALSE)</f>
        <v>Good</v>
      </c>
      <c r="N106" s="7">
        <f>VLOOKUP(Table1[[#This Row],[Job_Status]],$V$2:$X$4,3,FALSE)</f>
        <v>0</v>
      </c>
    </row>
    <row r="107" spans="1:14" x14ac:dyDescent="0.3">
      <c r="A107" t="s">
        <v>40</v>
      </c>
      <c r="B107" t="s">
        <v>15</v>
      </c>
      <c r="C107" s="5">
        <v>1.85</v>
      </c>
      <c r="D107" s="7">
        <v>43</v>
      </c>
      <c r="E107" s="6">
        <v>13.65</v>
      </c>
      <c r="F107">
        <v>86</v>
      </c>
      <c r="G107" s="3">
        <v>45004.055555555555</v>
      </c>
      <c r="H107" s="3">
        <v>45004.085416666669</v>
      </c>
      <c r="I107" s="3">
        <v>45004.054166666669</v>
      </c>
      <c r="J107" s="3">
        <v>45004.084027777775</v>
      </c>
      <c r="K107" t="s">
        <v>16</v>
      </c>
      <c r="L107" t="s">
        <v>20</v>
      </c>
      <c r="M107" t="str">
        <f>VLOOKUP(Table1[[#This Row],[Job_Status]],$V$2:$W$4,2,FALSE)</f>
        <v>Good</v>
      </c>
      <c r="N107" s="7">
        <f>VLOOKUP(Table1[[#This Row],[Job_Status]],$V$2:$X$4,3,FALSE)</f>
        <v>0</v>
      </c>
    </row>
    <row r="108" spans="1:14" x14ac:dyDescent="0.3">
      <c r="A108" t="s">
        <v>40</v>
      </c>
      <c r="B108" t="s">
        <v>15</v>
      </c>
      <c r="C108" s="5">
        <v>4.58</v>
      </c>
      <c r="D108" s="7">
        <v>107</v>
      </c>
      <c r="E108" s="6">
        <v>8.8000000000000007</v>
      </c>
      <c r="F108">
        <v>80</v>
      </c>
      <c r="G108" s="3">
        <v>45004.0625</v>
      </c>
      <c r="H108" s="3">
        <v>45004.136805555558</v>
      </c>
      <c r="I108" s="3">
        <v>45004.060416666667</v>
      </c>
      <c r="J108" s="3">
        <v>45004.134722222225</v>
      </c>
      <c r="K108" t="s">
        <v>16</v>
      </c>
      <c r="L108" t="s">
        <v>20</v>
      </c>
      <c r="M108" t="str">
        <f>VLOOKUP(Table1[[#This Row],[Job_Status]],$V$2:$W$4,2,FALSE)</f>
        <v>Good</v>
      </c>
      <c r="N108" s="7">
        <f>VLOOKUP(Table1[[#This Row],[Job_Status]],$V$2:$X$4,3,FALSE)</f>
        <v>0</v>
      </c>
    </row>
    <row r="109" spans="1:14" x14ac:dyDescent="0.3">
      <c r="A109" t="s">
        <v>22</v>
      </c>
      <c r="B109" t="s">
        <v>15</v>
      </c>
      <c r="C109" s="5">
        <v>3.86</v>
      </c>
      <c r="D109" s="7">
        <v>103</v>
      </c>
      <c r="E109" s="6">
        <v>13.37</v>
      </c>
      <c r="F109">
        <v>92</v>
      </c>
      <c r="G109" s="3">
        <v>45004.069444444445</v>
      </c>
      <c r="H109" s="3">
        <v>45004.140972222223</v>
      </c>
      <c r="K109" t="s">
        <v>24</v>
      </c>
      <c r="L109" t="s">
        <v>20</v>
      </c>
      <c r="M109" t="str">
        <f>VLOOKUP(Table1[[#This Row],[Job_Status]],$V$2:$W$4,2,FALSE)</f>
        <v>Defect</v>
      </c>
      <c r="N109" s="7">
        <f>VLOOKUP(Table1[[#This Row],[Job_Status]],$V$2:$X$4,3,FALSE)</f>
        <v>100</v>
      </c>
    </row>
    <row r="110" spans="1:14" x14ac:dyDescent="0.3">
      <c r="A110" t="s">
        <v>34</v>
      </c>
      <c r="B110" t="s">
        <v>27</v>
      </c>
      <c r="C110" s="5">
        <v>3.28</v>
      </c>
      <c r="D110" s="7">
        <v>78</v>
      </c>
      <c r="E110" s="6">
        <v>14.78</v>
      </c>
      <c r="F110">
        <v>84</v>
      </c>
      <c r="G110" s="3">
        <v>45004.076388888891</v>
      </c>
      <c r="H110" s="3">
        <v>45004.130555555559</v>
      </c>
      <c r="I110" s="3">
        <v>45004.07708333333</v>
      </c>
      <c r="J110" s="3">
        <v>45004.131249999999</v>
      </c>
      <c r="K110" t="s">
        <v>16</v>
      </c>
      <c r="L110" t="s">
        <v>17</v>
      </c>
      <c r="M110" t="str">
        <f>VLOOKUP(Table1[[#This Row],[Job_Status]],$V$2:$W$4,2,FALSE)</f>
        <v>Good</v>
      </c>
      <c r="N110" s="7">
        <f>VLOOKUP(Table1[[#This Row],[Job_Status]],$V$2:$X$4,3,FALSE)</f>
        <v>0</v>
      </c>
    </row>
    <row r="111" spans="1:14" x14ac:dyDescent="0.3">
      <c r="A111" t="s">
        <v>34</v>
      </c>
      <c r="B111" t="s">
        <v>27</v>
      </c>
      <c r="C111" s="5">
        <v>3.19</v>
      </c>
      <c r="D111" s="7">
        <v>102</v>
      </c>
      <c r="E111" s="6">
        <v>5.14</v>
      </c>
      <c r="F111">
        <v>84</v>
      </c>
      <c r="G111" s="3">
        <v>45004.083333333336</v>
      </c>
      <c r="H111" s="3">
        <v>45004.154166666667</v>
      </c>
      <c r="I111" s="3">
        <v>45004.079861111109</v>
      </c>
      <c r="J111" s="3">
        <v>45004.150694444441</v>
      </c>
      <c r="K111" t="s">
        <v>16</v>
      </c>
      <c r="L111" t="s">
        <v>20</v>
      </c>
      <c r="M111" t="str">
        <f>VLOOKUP(Table1[[#This Row],[Job_Status]],$V$2:$W$4,2,FALSE)</f>
        <v>Good</v>
      </c>
      <c r="N111" s="7">
        <f>VLOOKUP(Table1[[#This Row],[Job_Status]],$V$2:$X$4,3,FALSE)</f>
        <v>0</v>
      </c>
    </row>
    <row r="112" spans="1:14" x14ac:dyDescent="0.3">
      <c r="A112" t="s">
        <v>34</v>
      </c>
      <c r="B112" t="s">
        <v>23</v>
      </c>
      <c r="C112" s="5">
        <v>3.17</v>
      </c>
      <c r="D112" s="7">
        <v>107</v>
      </c>
      <c r="E112" s="6">
        <v>9.31</v>
      </c>
      <c r="F112">
        <v>89</v>
      </c>
      <c r="G112" s="3">
        <v>45004.090277777781</v>
      </c>
      <c r="H112" s="3">
        <v>45004.164583333331</v>
      </c>
      <c r="I112" s="3">
        <v>45004.088888888888</v>
      </c>
      <c r="J112" s="3">
        <v>45004.163194444445</v>
      </c>
      <c r="K112" t="s">
        <v>16</v>
      </c>
      <c r="L112" t="s">
        <v>20</v>
      </c>
      <c r="M112" t="str">
        <f>VLOOKUP(Table1[[#This Row],[Job_Status]],$V$2:$W$4,2,FALSE)</f>
        <v>Good</v>
      </c>
      <c r="N112" s="7">
        <f>VLOOKUP(Table1[[#This Row],[Job_Status]],$V$2:$X$4,3,FALSE)</f>
        <v>0</v>
      </c>
    </row>
    <row r="113" spans="1:14" x14ac:dyDescent="0.3">
      <c r="A113" t="s">
        <v>14</v>
      </c>
      <c r="B113" t="s">
        <v>36</v>
      </c>
      <c r="C113" s="5">
        <v>2.87</v>
      </c>
      <c r="D113" s="7">
        <v>119</v>
      </c>
      <c r="E113" s="6">
        <v>13.26</v>
      </c>
      <c r="F113">
        <v>80</v>
      </c>
      <c r="G113" s="3">
        <v>45004.097222222219</v>
      </c>
      <c r="H113" s="3">
        <v>45004.179861111108</v>
      </c>
      <c r="I113" s="3">
        <v>45004.094444444447</v>
      </c>
      <c r="J113" s="3">
        <v>45004.177083333336</v>
      </c>
      <c r="K113" t="s">
        <v>16</v>
      </c>
      <c r="L113" t="s">
        <v>20</v>
      </c>
      <c r="M113" t="str">
        <f>VLOOKUP(Table1[[#This Row],[Job_Status]],$V$2:$W$4,2,FALSE)</f>
        <v>Good</v>
      </c>
      <c r="N113" s="7">
        <f>VLOOKUP(Table1[[#This Row],[Job_Status]],$V$2:$X$4,3,FALSE)</f>
        <v>0</v>
      </c>
    </row>
    <row r="114" spans="1:14" x14ac:dyDescent="0.3">
      <c r="A114" t="s">
        <v>30</v>
      </c>
      <c r="B114" t="s">
        <v>27</v>
      </c>
      <c r="C114" s="5">
        <v>3.71</v>
      </c>
      <c r="D114" s="7">
        <v>74</v>
      </c>
      <c r="E114" s="6">
        <v>7.12</v>
      </c>
      <c r="F114">
        <v>95</v>
      </c>
      <c r="G114" s="3">
        <v>45004.104166666664</v>
      </c>
      <c r="H114" s="3">
        <v>45004.155555555553</v>
      </c>
      <c r="I114" s="3">
        <v>45004.107638888891</v>
      </c>
      <c r="J114" s="3">
        <v>45004.15902777778</v>
      </c>
      <c r="K114" t="s">
        <v>16</v>
      </c>
      <c r="L114" t="s">
        <v>17</v>
      </c>
      <c r="M114" t="str">
        <f>VLOOKUP(Table1[[#This Row],[Job_Status]],$V$2:$W$4,2,FALSE)</f>
        <v>Good</v>
      </c>
      <c r="N114" s="7">
        <f>VLOOKUP(Table1[[#This Row],[Job_Status]],$V$2:$X$4,3,FALSE)</f>
        <v>0</v>
      </c>
    </row>
    <row r="115" spans="1:14" x14ac:dyDescent="0.3">
      <c r="A115" t="s">
        <v>14</v>
      </c>
      <c r="B115" t="s">
        <v>36</v>
      </c>
      <c r="C115" s="5">
        <v>3.77</v>
      </c>
      <c r="D115" s="7">
        <v>103</v>
      </c>
      <c r="E115" s="6">
        <v>2.25</v>
      </c>
      <c r="F115">
        <v>95</v>
      </c>
      <c r="G115" s="3">
        <v>45004.111111111109</v>
      </c>
      <c r="H115" s="3">
        <v>45004.182638888888</v>
      </c>
      <c r="I115" s="3">
        <v>45004.109722222223</v>
      </c>
      <c r="J115" s="3">
        <v>45004.181250000001</v>
      </c>
      <c r="K115" t="s">
        <v>16</v>
      </c>
      <c r="L115" t="s">
        <v>20</v>
      </c>
      <c r="M115" t="str">
        <f>VLOOKUP(Table1[[#This Row],[Job_Status]],$V$2:$W$4,2,FALSE)</f>
        <v>Good</v>
      </c>
      <c r="N115" s="7">
        <f>VLOOKUP(Table1[[#This Row],[Job_Status]],$V$2:$X$4,3,FALSE)</f>
        <v>0</v>
      </c>
    </row>
    <row r="116" spans="1:14" x14ac:dyDescent="0.3">
      <c r="A116" t="s">
        <v>14</v>
      </c>
      <c r="B116" t="s">
        <v>27</v>
      </c>
      <c r="C116" s="5">
        <v>1.26</v>
      </c>
      <c r="D116" s="7">
        <v>116</v>
      </c>
      <c r="E116" s="6">
        <v>4.3600000000000003</v>
      </c>
      <c r="F116">
        <v>98</v>
      </c>
      <c r="G116" s="3">
        <v>45004.118055555555</v>
      </c>
      <c r="H116" s="3">
        <v>45004.198611111111</v>
      </c>
      <c r="I116" s="3">
        <v>45004.134027777778</v>
      </c>
      <c r="J116" s="3">
        <v>45004.214583333334</v>
      </c>
      <c r="K116" t="s">
        <v>19</v>
      </c>
      <c r="L116" t="s">
        <v>20</v>
      </c>
      <c r="M116" t="str">
        <f>VLOOKUP(Table1[[#This Row],[Job_Status]],$V$2:$W$4,2,FALSE)</f>
        <v>Good</v>
      </c>
      <c r="N116" s="7">
        <f>VLOOKUP(Table1[[#This Row],[Job_Status]],$V$2:$X$4,3,FALSE)</f>
        <v>0</v>
      </c>
    </row>
    <row r="117" spans="1:14" x14ac:dyDescent="0.3">
      <c r="A117" t="s">
        <v>22</v>
      </c>
      <c r="B117" t="s">
        <v>27</v>
      </c>
      <c r="C117" s="5">
        <v>1.32</v>
      </c>
      <c r="D117" s="7">
        <v>114</v>
      </c>
      <c r="E117" s="6">
        <v>9.49</v>
      </c>
      <c r="F117">
        <v>86</v>
      </c>
      <c r="G117" s="3">
        <v>45004.125</v>
      </c>
      <c r="H117" s="3">
        <v>45004.20416666667</v>
      </c>
      <c r="I117" s="3">
        <v>45004.125</v>
      </c>
      <c r="J117" s="3">
        <v>45004.20416666667</v>
      </c>
      <c r="K117" t="s">
        <v>16</v>
      </c>
      <c r="L117" t="s">
        <v>28</v>
      </c>
      <c r="M117" t="str">
        <f>VLOOKUP(Table1[[#This Row],[Job_Status]],$V$2:$W$4,2,FALSE)</f>
        <v>Good</v>
      </c>
      <c r="N117" s="7">
        <f>VLOOKUP(Table1[[#This Row],[Job_Status]],$V$2:$X$4,3,FALSE)</f>
        <v>0</v>
      </c>
    </row>
    <row r="118" spans="1:14" x14ac:dyDescent="0.3">
      <c r="A118" t="s">
        <v>22</v>
      </c>
      <c r="B118" t="s">
        <v>32</v>
      </c>
      <c r="C118" s="5">
        <v>2.11</v>
      </c>
      <c r="D118" s="7">
        <v>77</v>
      </c>
      <c r="E118" s="6">
        <v>5.69</v>
      </c>
      <c r="F118">
        <v>90</v>
      </c>
      <c r="G118" s="3">
        <v>45004.131944444445</v>
      </c>
      <c r="H118" s="3">
        <v>45004.185416666667</v>
      </c>
      <c r="I118" s="3">
        <v>45004.130555555559</v>
      </c>
      <c r="J118" s="3">
        <v>45004.184027777781</v>
      </c>
      <c r="K118" t="s">
        <v>16</v>
      </c>
      <c r="L118" t="s">
        <v>20</v>
      </c>
      <c r="M118" t="str">
        <f>VLOOKUP(Table1[[#This Row],[Job_Status]],$V$2:$W$4,2,FALSE)</f>
        <v>Good</v>
      </c>
      <c r="N118" s="7">
        <f>VLOOKUP(Table1[[#This Row],[Job_Status]],$V$2:$X$4,3,FALSE)</f>
        <v>0</v>
      </c>
    </row>
    <row r="119" spans="1:14" x14ac:dyDescent="0.3">
      <c r="A119" t="s">
        <v>30</v>
      </c>
      <c r="B119" t="s">
        <v>15</v>
      </c>
      <c r="C119" s="5">
        <v>1.57</v>
      </c>
      <c r="D119" s="7">
        <v>67</v>
      </c>
      <c r="E119" s="6">
        <v>5.41</v>
      </c>
      <c r="F119">
        <v>81</v>
      </c>
      <c r="G119" s="3">
        <v>45004.138888888891</v>
      </c>
      <c r="H119" s="3">
        <v>45004.185416666667</v>
      </c>
      <c r="I119" s="3">
        <v>45004.136111111111</v>
      </c>
      <c r="J119" s="3">
        <v>45004.182638888888</v>
      </c>
      <c r="K119" t="s">
        <v>16</v>
      </c>
      <c r="L119" t="s">
        <v>20</v>
      </c>
      <c r="M119" t="str">
        <f>VLOOKUP(Table1[[#This Row],[Job_Status]],$V$2:$W$4,2,FALSE)</f>
        <v>Good</v>
      </c>
      <c r="N119" s="7">
        <f>VLOOKUP(Table1[[#This Row],[Job_Status]],$V$2:$X$4,3,FALSE)</f>
        <v>0</v>
      </c>
    </row>
    <row r="120" spans="1:14" x14ac:dyDescent="0.3">
      <c r="A120" t="s">
        <v>30</v>
      </c>
      <c r="B120" t="s">
        <v>27</v>
      </c>
      <c r="C120" s="5">
        <v>1.1399999999999999</v>
      </c>
      <c r="D120" s="7">
        <v>68</v>
      </c>
      <c r="E120" s="6">
        <v>12.12</v>
      </c>
      <c r="F120">
        <v>83</v>
      </c>
      <c r="G120" s="3">
        <v>45004.145833333336</v>
      </c>
      <c r="H120" s="3">
        <v>45004.193055555559</v>
      </c>
      <c r="K120" t="s">
        <v>24</v>
      </c>
      <c r="L120" t="s">
        <v>20</v>
      </c>
      <c r="M120" t="str">
        <f>VLOOKUP(Table1[[#This Row],[Job_Status]],$V$2:$W$4,2,FALSE)</f>
        <v>Defect</v>
      </c>
      <c r="N120" s="7">
        <f>VLOOKUP(Table1[[#This Row],[Job_Status]],$V$2:$X$4,3,FALSE)</f>
        <v>100</v>
      </c>
    </row>
    <row r="121" spans="1:14" x14ac:dyDescent="0.3">
      <c r="A121" t="s">
        <v>22</v>
      </c>
      <c r="B121" t="s">
        <v>36</v>
      </c>
      <c r="C121" s="5">
        <v>1.0900000000000001</v>
      </c>
      <c r="D121" s="7">
        <v>58</v>
      </c>
      <c r="E121" s="6">
        <v>6.55</v>
      </c>
      <c r="F121">
        <v>89</v>
      </c>
      <c r="G121" s="3">
        <v>45004.152777777781</v>
      </c>
      <c r="H121" s="3">
        <v>45004.193055555559</v>
      </c>
      <c r="I121" s="3">
        <v>45004.15347222222</v>
      </c>
      <c r="J121" s="3">
        <v>45004.193749999999</v>
      </c>
      <c r="K121" t="s">
        <v>16</v>
      </c>
      <c r="L121" t="s">
        <v>28</v>
      </c>
      <c r="M121" t="str">
        <f>VLOOKUP(Table1[[#This Row],[Job_Status]],$V$2:$W$4,2,FALSE)</f>
        <v>Good</v>
      </c>
      <c r="N121" s="7">
        <f>VLOOKUP(Table1[[#This Row],[Job_Status]],$V$2:$X$4,3,FALSE)</f>
        <v>0</v>
      </c>
    </row>
    <row r="122" spans="1:14" x14ac:dyDescent="0.3">
      <c r="A122" t="s">
        <v>22</v>
      </c>
      <c r="B122" t="s">
        <v>27</v>
      </c>
      <c r="C122" s="5">
        <v>1.22</v>
      </c>
      <c r="D122" s="7">
        <v>33</v>
      </c>
      <c r="E122" s="6">
        <v>5.5</v>
      </c>
      <c r="F122">
        <v>91</v>
      </c>
      <c r="G122" s="3">
        <v>45004.159722222219</v>
      </c>
      <c r="H122" s="3">
        <v>45004.182638888888</v>
      </c>
      <c r="I122" s="3">
        <v>45004.162499999999</v>
      </c>
      <c r="J122" s="3">
        <v>45004.185416666667</v>
      </c>
      <c r="K122" t="s">
        <v>16</v>
      </c>
      <c r="L122" t="s">
        <v>28</v>
      </c>
      <c r="M122" t="str">
        <f>VLOOKUP(Table1[[#This Row],[Job_Status]],$V$2:$W$4,2,FALSE)</f>
        <v>Good</v>
      </c>
      <c r="N122" s="7">
        <f>VLOOKUP(Table1[[#This Row],[Job_Status]],$V$2:$X$4,3,FALSE)</f>
        <v>0</v>
      </c>
    </row>
    <row r="123" spans="1:14" x14ac:dyDescent="0.3">
      <c r="A123" t="s">
        <v>34</v>
      </c>
      <c r="B123" t="s">
        <v>23</v>
      </c>
      <c r="C123" s="5">
        <v>4.13</v>
      </c>
      <c r="D123" s="7">
        <v>39</v>
      </c>
      <c r="E123" s="6">
        <v>8.06</v>
      </c>
      <c r="F123">
        <v>91</v>
      </c>
      <c r="G123" s="3">
        <v>45004.166666666664</v>
      </c>
      <c r="H123" s="3">
        <v>45004.193749999999</v>
      </c>
      <c r="I123" s="3">
        <v>45004.163888888892</v>
      </c>
      <c r="J123" s="3">
        <v>45004.190972222219</v>
      </c>
      <c r="K123" t="s">
        <v>16</v>
      </c>
      <c r="L123" t="s">
        <v>20</v>
      </c>
      <c r="M123" t="str">
        <f>VLOOKUP(Table1[[#This Row],[Job_Status]],$V$2:$W$4,2,FALSE)</f>
        <v>Good</v>
      </c>
      <c r="N123" s="7">
        <f>VLOOKUP(Table1[[#This Row],[Job_Status]],$V$2:$X$4,3,FALSE)</f>
        <v>0</v>
      </c>
    </row>
    <row r="124" spans="1:14" x14ac:dyDescent="0.3">
      <c r="A124" t="s">
        <v>30</v>
      </c>
      <c r="B124" t="s">
        <v>15</v>
      </c>
      <c r="C124" s="5">
        <v>3.22</v>
      </c>
      <c r="D124" s="7">
        <v>102</v>
      </c>
      <c r="E124" s="6">
        <v>7.75</v>
      </c>
      <c r="F124">
        <v>96</v>
      </c>
      <c r="G124" s="3">
        <v>45004.173611111109</v>
      </c>
      <c r="H124" s="3">
        <v>45004.244444444441</v>
      </c>
      <c r="I124" s="3">
        <v>45004.171527777777</v>
      </c>
      <c r="J124" s="3">
        <v>45004.242361111108</v>
      </c>
      <c r="K124" t="s">
        <v>16</v>
      </c>
      <c r="L124" t="s">
        <v>20</v>
      </c>
      <c r="M124" t="str">
        <f>VLOOKUP(Table1[[#This Row],[Job_Status]],$V$2:$W$4,2,FALSE)</f>
        <v>Good</v>
      </c>
      <c r="N124" s="7">
        <f>VLOOKUP(Table1[[#This Row],[Job_Status]],$V$2:$X$4,3,FALSE)</f>
        <v>0</v>
      </c>
    </row>
    <row r="125" spans="1:14" x14ac:dyDescent="0.3">
      <c r="A125" t="s">
        <v>22</v>
      </c>
      <c r="B125" t="s">
        <v>15</v>
      </c>
      <c r="C125" s="5">
        <v>2.65</v>
      </c>
      <c r="D125" s="7">
        <v>85</v>
      </c>
      <c r="E125" s="6">
        <v>8.35</v>
      </c>
      <c r="F125">
        <v>80</v>
      </c>
      <c r="G125" s="3">
        <v>45004.180555555555</v>
      </c>
      <c r="H125" s="3">
        <v>45004.239583333336</v>
      </c>
      <c r="I125" s="3">
        <v>45004.178472222222</v>
      </c>
      <c r="J125" s="3">
        <v>45004.237500000003</v>
      </c>
      <c r="K125" t="s">
        <v>16</v>
      </c>
      <c r="L125" t="s">
        <v>20</v>
      </c>
      <c r="M125" t="str">
        <f>VLOOKUP(Table1[[#This Row],[Job_Status]],$V$2:$W$4,2,FALSE)</f>
        <v>Good</v>
      </c>
      <c r="N125" s="7">
        <f>VLOOKUP(Table1[[#This Row],[Job_Status]],$V$2:$X$4,3,FALSE)</f>
        <v>0</v>
      </c>
    </row>
    <row r="126" spans="1:14" x14ac:dyDescent="0.3">
      <c r="A126" t="s">
        <v>14</v>
      </c>
      <c r="B126" t="s">
        <v>15</v>
      </c>
      <c r="C126" s="5">
        <v>4.75</v>
      </c>
      <c r="D126" s="7">
        <v>40</v>
      </c>
      <c r="E126" s="6">
        <v>4.42</v>
      </c>
      <c r="F126">
        <v>80</v>
      </c>
      <c r="G126" s="3">
        <v>45004.1875</v>
      </c>
      <c r="H126" s="3">
        <v>45004.215277777781</v>
      </c>
      <c r="I126" s="3">
        <v>45004.188888888886</v>
      </c>
      <c r="J126" s="3">
        <v>45004.216666666667</v>
      </c>
      <c r="K126" t="s">
        <v>16</v>
      </c>
      <c r="L126" t="s">
        <v>28</v>
      </c>
      <c r="M126" t="str">
        <f>VLOOKUP(Table1[[#This Row],[Job_Status]],$V$2:$W$4,2,FALSE)</f>
        <v>Good</v>
      </c>
      <c r="N126" s="7">
        <f>VLOOKUP(Table1[[#This Row],[Job_Status]],$V$2:$X$4,3,FALSE)</f>
        <v>0</v>
      </c>
    </row>
    <row r="127" spans="1:14" x14ac:dyDescent="0.3">
      <c r="A127" t="s">
        <v>30</v>
      </c>
      <c r="B127" t="s">
        <v>23</v>
      </c>
      <c r="C127" s="5">
        <v>2.4300000000000002</v>
      </c>
      <c r="D127" s="7">
        <v>76</v>
      </c>
      <c r="E127" s="6">
        <v>3.58</v>
      </c>
      <c r="F127">
        <v>91</v>
      </c>
      <c r="G127" s="3">
        <v>45004.194444444445</v>
      </c>
      <c r="H127" s="3">
        <v>45004.24722222222</v>
      </c>
      <c r="I127" s="3">
        <v>45004.194444444445</v>
      </c>
      <c r="J127" s="3">
        <v>45004.24722222222</v>
      </c>
      <c r="K127" t="s">
        <v>16</v>
      </c>
      <c r="L127" t="s">
        <v>28</v>
      </c>
      <c r="M127" t="str">
        <f>VLOOKUP(Table1[[#This Row],[Job_Status]],$V$2:$W$4,2,FALSE)</f>
        <v>Good</v>
      </c>
      <c r="N127" s="7">
        <f>VLOOKUP(Table1[[#This Row],[Job_Status]],$V$2:$X$4,3,FALSE)</f>
        <v>0</v>
      </c>
    </row>
    <row r="128" spans="1:14" x14ac:dyDescent="0.3">
      <c r="A128" t="s">
        <v>14</v>
      </c>
      <c r="B128" t="s">
        <v>32</v>
      </c>
      <c r="C128" s="5">
        <v>3.12</v>
      </c>
      <c r="D128" s="7">
        <v>70</v>
      </c>
      <c r="E128" s="6">
        <v>5.07</v>
      </c>
      <c r="F128">
        <v>98</v>
      </c>
      <c r="G128" s="3">
        <v>45004.201388888891</v>
      </c>
      <c r="H128" s="3">
        <v>45004.25</v>
      </c>
      <c r="I128" s="3">
        <v>45004.197916666664</v>
      </c>
      <c r="J128" s="3">
        <v>45004.246527777781</v>
      </c>
      <c r="K128" t="s">
        <v>16</v>
      </c>
      <c r="L128" t="s">
        <v>20</v>
      </c>
      <c r="M128" t="str">
        <f>VLOOKUP(Table1[[#This Row],[Job_Status]],$V$2:$W$4,2,FALSE)</f>
        <v>Good</v>
      </c>
      <c r="N128" s="7">
        <f>VLOOKUP(Table1[[#This Row],[Job_Status]],$V$2:$X$4,3,FALSE)</f>
        <v>0</v>
      </c>
    </row>
    <row r="129" spans="1:14" x14ac:dyDescent="0.3">
      <c r="A129" t="s">
        <v>22</v>
      </c>
      <c r="B129" t="s">
        <v>23</v>
      </c>
      <c r="C129" s="5">
        <v>4.22</v>
      </c>
      <c r="D129" s="7">
        <v>27</v>
      </c>
      <c r="E129" s="6">
        <v>6.94</v>
      </c>
      <c r="F129">
        <v>87</v>
      </c>
      <c r="G129" s="3">
        <v>45004.208333333336</v>
      </c>
      <c r="H129" s="3">
        <v>45004.227083333331</v>
      </c>
      <c r="I129" s="3">
        <v>45004.222916666666</v>
      </c>
      <c r="J129" s="3">
        <v>45004.241666666669</v>
      </c>
      <c r="K129" t="s">
        <v>19</v>
      </c>
      <c r="L129" t="s">
        <v>20</v>
      </c>
      <c r="M129" t="str">
        <f>VLOOKUP(Table1[[#This Row],[Job_Status]],$V$2:$W$4,2,FALSE)</f>
        <v>Good</v>
      </c>
      <c r="N129" s="7">
        <f>VLOOKUP(Table1[[#This Row],[Job_Status]],$V$2:$X$4,3,FALSE)</f>
        <v>0</v>
      </c>
    </row>
    <row r="130" spans="1:14" x14ac:dyDescent="0.3">
      <c r="A130" t="s">
        <v>22</v>
      </c>
      <c r="B130" t="s">
        <v>15</v>
      </c>
      <c r="C130" s="5">
        <v>3.24</v>
      </c>
      <c r="D130" s="7">
        <v>40</v>
      </c>
      <c r="E130" s="6">
        <v>10.06</v>
      </c>
      <c r="F130">
        <v>91</v>
      </c>
      <c r="G130" s="3">
        <v>45004.215277777781</v>
      </c>
      <c r="H130" s="3">
        <v>45004.243055555555</v>
      </c>
      <c r="I130" s="3">
        <v>45004.213888888888</v>
      </c>
      <c r="J130" s="3">
        <v>45004.241666666669</v>
      </c>
      <c r="K130" t="s">
        <v>16</v>
      </c>
      <c r="L130" t="s">
        <v>20</v>
      </c>
      <c r="M130" t="str">
        <f>VLOOKUP(Table1[[#This Row],[Job_Status]],$V$2:$W$4,2,FALSE)</f>
        <v>Good</v>
      </c>
      <c r="N130" s="7">
        <f>VLOOKUP(Table1[[#This Row],[Job_Status]],$V$2:$X$4,3,FALSE)</f>
        <v>0</v>
      </c>
    </row>
    <row r="131" spans="1:14" x14ac:dyDescent="0.3">
      <c r="A131" t="s">
        <v>34</v>
      </c>
      <c r="B131" t="s">
        <v>15</v>
      </c>
      <c r="C131" s="5">
        <v>2.0699999999999998</v>
      </c>
      <c r="D131" s="7">
        <v>45</v>
      </c>
      <c r="E131" s="6">
        <v>7.75</v>
      </c>
      <c r="F131">
        <v>84</v>
      </c>
      <c r="G131" s="3">
        <v>45004.222222222219</v>
      </c>
      <c r="H131" s="3">
        <v>45004.253472222219</v>
      </c>
      <c r="I131" s="3">
        <v>45004.224999999999</v>
      </c>
      <c r="J131" s="3">
        <v>45004.256249999999</v>
      </c>
      <c r="K131" t="s">
        <v>16</v>
      </c>
      <c r="L131" t="s">
        <v>17</v>
      </c>
      <c r="M131" t="str">
        <f>VLOOKUP(Table1[[#This Row],[Job_Status]],$V$2:$W$4,2,FALSE)</f>
        <v>Good</v>
      </c>
      <c r="N131" s="7">
        <f>VLOOKUP(Table1[[#This Row],[Job_Status]],$V$2:$X$4,3,FALSE)</f>
        <v>0</v>
      </c>
    </row>
    <row r="132" spans="1:14" x14ac:dyDescent="0.3">
      <c r="A132" t="s">
        <v>30</v>
      </c>
      <c r="B132" t="s">
        <v>32</v>
      </c>
      <c r="C132" s="5">
        <v>1.1000000000000001</v>
      </c>
      <c r="D132" s="7">
        <v>78</v>
      </c>
      <c r="E132" s="6">
        <v>2.4900000000000002</v>
      </c>
      <c r="F132">
        <v>96</v>
      </c>
      <c r="G132" s="3">
        <v>45004.229166666664</v>
      </c>
      <c r="H132" s="3">
        <v>45004.283333333333</v>
      </c>
      <c r="I132" s="3">
        <v>45004.229861111111</v>
      </c>
      <c r="J132" s="3">
        <v>45004.28402777778</v>
      </c>
      <c r="K132" t="s">
        <v>16</v>
      </c>
      <c r="L132" t="s">
        <v>43</v>
      </c>
      <c r="M132" t="str">
        <f>VLOOKUP(Table1[[#This Row],[Job_Status]],$V$2:$W$4,2,FALSE)</f>
        <v>Good</v>
      </c>
      <c r="N132" s="7">
        <f>VLOOKUP(Table1[[#This Row],[Job_Status]],$V$2:$X$4,3,FALSE)</f>
        <v>0</v>
      </c>
    </row>
    <row r="133" spans="1:14" x14ac:dyDescent="0.3">
      <c r="A133" t="s">
        <v>22</v>
      </c>
      <c r="B133" t="s">
        <v>36</v>
      </c>
      <c r="C133" s="5">
        <v>3.55</v>
      </c>
      <c r="D133" s="7">
        <v>78</v>
      </c>
      <c r="E133" s="6">
        <v>4.87</v>
      </c>
      <c r="F133">
        <v>97</v>
      </c>
      <c r="G133" s="3">
        <v>45004.236111111109</v>
      </c>
      <c r="H133" s="3">
        <v>45004.290277777778</v>
      </c>
      <c r="I133" s="3">
        <v>45004.234722222223</v>
      </c>
      <c r="J133" s="3">
        <v>45004.288888888892</v>
      </c>
      <c r="K133" t="s">
        <v>16</v>
      </c>
      <c r="L133" t="s">
        <v>20</v>
      </c>
      <c r="M133" t="str">
        <f>VLOOKUP(Table1[[#This Row],[Job_Status]],$V$2:$W$4,2,FALSE)</f>
        <v>Good</v>
      </c>
      <c r="N133" s="7">
        <f>VLOOKUP(Table1[[#This Row],[Job_Status]],$V$2:$X$4,3,FALSE)</f>
        <v>0</v>
      </c>
    </row>
    <row r="134" spans="1:14" x14ac:dyDescent="0.3">
      <c r="A134" t="s">
        <v>14</v>
      </c>
      <c r="B134" t="s">
        <v>23</v>
      </c>
      <c r="C134" s="5">
        <v>4.6399999999999997</v>
      </c>
      <c r="D134" s="7">
        <v>70</v>
      </c>
      <c r="E134" s="6">
        <v>10.68</v>
      </c>
      <c r="F134">
        <v>82</v>
      </c>
      <c r="G134" s="3">
        <v>45004.243055555555</v>
      </c>
      <c r="H134" s="3">
        <v>45004.291666666664</v>
      </c>
      <c r="I134" s="3">
        <v>45004.25277777778</v>
      </c>
      <c r="J134" s="3">
        <v>45004.301388888889</v>
      </c>
      <c r="K134" t="s">
        <v>19</v>
      </c>
      <c r="L134" t="s">
        <v>20</v>
      </c>
      <c r="M134" t="str">
        <f>VLOOKUP(Table1[[#This Row],[Job_Status]],$V$2:$W$4,2,FALSE)</f>
        <v>Good</v>
      </c>
      <c r="N134" s="7">
        <f>VLOOKUP(Table1[[#This Row],[Job_Status]],$V$2:$X$4,3,FALSE)</f>
        <v>0</v>
      </c>
    </row>
    <row r="135" spans="1:14" x14ac:dyDescent="0.3">
      <c r="A135" t="s">
        <v>14</v>
      </c>
      <c r="B135" t="s">
        <v>36</v>
      </c>
      <c r="C135" s="5">
        <v>4.42</v>
      </c>
      <c r="D135" s="7">
        <v>85</v>
      </c>
      <c r="E135" s="6">
        <v>6.51</v>
      </c>
      <c r="F135">
        <v>92</v>
      </c>
      <c r="G135" s="3">
        <v>45004.25</v>
      </c>
      <c r="H135" s="3">
        <v>45004.309027777781</v>
      </c>
      <c r="I135" s="3">
        <v>45004.25277777778</v>
      </c>
      <c r="J135" s="3">
        <v>45004.311805555553</v>
      </c>
      <c r="K135" t="s">
        <v>16</v>
      </c>
      <c r="L135" t="s">
        <v>28</v>
      </c>
      <c r="M135" t="str">
        <f>VLOOKUP(Table1[[#This Row],[Job_Status]],$V$2:$W$4,2,FALSE)</f>
        <v>Good</v>
      </c>
      <c r="N135" s="7">
        <f>VLOOKUP(Table1[[#This Row],[Job_Status]],$V$2:$X$4,3,FALSE)</f>
        <v>0</v>
      </c>
    </row>
    <row r="136" spans="1:14" x14ac:dyDescent="0.3">
      <c r="A136" t="s">
        <v>40</v>
      </c>
      <c r="B136" t="s">
        <v>27</v>
      </c>
      <c r="C136" s="5">
        <v>2.8</v>
      </c>
      <c r="D136" s="7">
        <v>71</v>
      </c>
      <c r="E136" s="6">
        <v>13.03</v>
      </c>
      <c r="F136">
        <v>89</v>
      </c>
      <c r="G136" s="3">
        <v>45004.256944444445</v>
      </c>
      <c r="H136" s="3">
        <v>45004.306250000001</v>
      </c>
      <c r="K136" t="s">
        <v>24</v>
      </c>
      <c r="L136" t="s">
        <v>20</v>
      </c>
      <c r="M136" t="str">
        <f>VLOOKUP(Table1[[#This Row],[Job_Status]],$V$2:$W$4,2,FALSE)</f>
        <v>Defect</v>
      </c>
      <c r="N136" s="7">
        <f>VLOOKUP(Table1[[#This Row],[Job_Status]],$V$2:$X$4,3,FALSE)</f>
        <v>100</v>
      </c>
    </row>
    <row r="137" spans="1:14" x14ac:dyDescent="0.3">
      <c r="A137" t="s">
        <v>14</v>
      </c>
      <c r="B137" t="s">
        <v>36</v>
      </c>
      <c r="C137" s="5">
        <v>4.6399999999999997</v>
      </c>
      <c r="D137" s="7">
        <v>23</v>
      </c>
      <c r="E137" s="6">
        <v>8.31</v>
      </c>
      <c r="F137">
        <v>86</v>
      </c>
      <c r="G137" s="3">
        <v>45004.263888888891</v>
      </c>
      <c r="H137" s="3">
        <v>45004.279861111114</v>
      </c>
      <c r="I137" s="3">
        <v>45004.26458333333</v>
      </c>
      <c r="J137" s="3">
        <v>45004.280555555553</v>
      </c>
      <c r="K137" t="s">
        <v>16</v>
      </c>
      <c r="L137" t="s">
        <v>28</v>
      </c>
      <c r="M137" t="str">
        <f>VLOOKUP(Table1[[#This Row],[Job_Status]],$V$2:$W$4,2,FALSE)</f>
        <v>Good</v>
      </c>
      <c r="N137" s="7">
        <f>VLOOKUP(Table1[[#This Row],[Job_Status]],$V$2:$X$4,3,FALSE)</f>
        <v>0</v>
      </c>
    </row>
    <row r="138" spans="1:14" x14ac:dyDescent="0.3">
      <c r="A138" t="s">
        <v>22</v>
      </c>
      <c r="B138" t="s">
        <v>36</v>
      </c>
      <c r="C138" s="5">
        <v>4.7</v>
      </c>
      <c r="D138" s="7">
        <v>78</v>
      </c>
      <c r="E138" s="6">
        <v>2.59</v>
      </c>
      <c r="F138">
        <v>95</v>
      </c>
      <c r="G138" s="3">
        <v>45004.270833333336</v>
      </c>
      <c r="H138" s="3">
        <v>45004.324999999997</v>
      </c>
      <c r="I138" s="3">
        <v>45004.270138888889</v>
      </c>
      <c r="J138" s="3">
        <v>45004.324305555558</v>
      </c>
      <c r="K138" t="s">
        <v>16</v>
      </c>
      <c r="L138" t="s">
        <v>20</v>
      </c>
      <c r="M138" t="str">
        <f>VLOOKUP(Table1[[#This Row],[Job_Status]],$V$2:$W$4,2,FALSE)</f>
        <v>Good</v>
      </c>
      <c r="N138" s="7">
        <f>VLOOKUP(Table1[[#This Row],[Job_Status]],$V$2:$X$4,3,FALSE)</f>
        <v>0</v>
      </c>
    </row>
    <row r="139" spans="1:14" x14ac:dyDescent="0.3">
      <c r="A139" t="s">
        <v>14</v>
      </c>
      <c r="B139" t="s">
        <v>27</v>
      </c>
      <c r="C139" s="5">
        <v>2.86</v>
      </c>
      <c r="D139" s="7">
        <v>91</v>
      </c>
      <c r="E139" s="6">
        <v>11.79</v>
      </c>
      <c r="F139">
        <v>89</v>
      </c>
      <c r="G139" s="3">
        <v>45004.277777777781</v>
      </c>
      <c r="H139" s="3">
        <v>45004.34097222222</v>
      </c>
      <c r="I139" s="3">
        <v>45004.28125</v>
      </c>
      <c r="J139" s="3">
        <v>45004.344444444447</v>
      </c>
      <c r="K139" t="s">
        <v>16</v>
      </c>
      <c r="L139" t="s">
        <v>17</v>
      </c>
      <c r="M139" t="str">
        <f>VLOOKUP(Table1[[#This Row],[Job_Status]],$V$2:$W$4,2,FALSE)</f>
        <v>Good</v>
      </c>
      <c r="N139" s="7">
        <f>VLOOKUP(Table1[[#This Row],[Job_Status]],$V$2:$X$4,3,FALSE)</f>
        <v>0</v>
      </c>
    </row>
    <row r="140" spans="1:14" x14ac:dyDescent="0.3">
      <c r="A140" t="s">
        <v>40</v>
      </c>
      <c r="B140" t="s">
        <v>15</v>
      </c>
      <c r="C140" s="5">
        <v>4.1399999999999997</v>
      </c>
      <c r="D140" s="7">
        <v>65</v>
      </c>
      <c r="E140" s="6">
        <v>11.48</v>
      </c>
      <c r="F140">
        <v>81</v>
      </c>
      <c r="G140" s="3">
        <v>45004.284722222219</v>
      </c>
      <c r="H140" s="3">
        <v>45004.329861111109</v>
      </c>
      <c r="I140" s="3">
        <v>45004.305555555555</v>
      </c>
      <c r="J140" s="3">
        <v>45004.350694444445</v>
      </c>
      <c r="K140" t="s">
        <v>19</v>
      </c>
      <c r="L140" t="s">
        <v>20</v>
      </c>
      <c r="M140" t="str">
        <f>VLOOKUP(Table1[[#This Row],[Job_Status]],$V$2:$W$4,2,FALSE)</f>
        <v>Good</v>
      </c>
      <c r="N140" s="7">
        <f>VLOOKUP(Table1[[#This Row],[Job_Status]],$V$2:$X$4,3,FALSE)</f>
        <v>0</v>
      </c>
    </row>
    <row r="141" spans="1:14" x14ac:dyDescent="0.3">
      <c r="A141" t="s">
        <v>40</v>
      </c>
      <c r="B141" t="s">
        <v>23</v>
      </c>
      <c r="C141" s="5">
        <v>4.04</v>
      </c>
      <c r="D141" s="7">
        <v>45</v>
      </c>
      <c r="E141" s="6">
        <v>4.4800000000000004</v>
      </c>
      <c r="F141">
        <v>92</v>
      </c>
      <c r="G141" s="3">
        <v>45004.291666666664</v>
      </c>
      <c r="H141" s="3">
        <v>45004.322916666664</v>
      </c>
      <c r="I141" s="3">
        <v>45004.293055555558</v>
      </c>
      <c r="J141" s="3">
        <v>45004.324305555558</v>
      </c>
      <c r="K141" t="s">
        <v>16</v>
      </c>
      <c r="L141" t="s">
        <v>28</v>
      </c>
      <c r="M141" t="str">
        <f>VLOOKUP(Table1[[#This Row],[Job_Status]],$V$2:$W$4,2,FALSE)</f>
        <v>Good</v>
      </c>
      <c r="N141" s="7">
        <f>VLOOKUP(Table1[[#This Row],[Job_Status]],$V$2:$X$4,3,FALSE)</f>
        <v>0</v>
      </c>
    </row>
    <row r="142" spans="1:14" x14ac:dyDescent="0.3">
      <c r="A142" t="s">
        <v>34</v>
      </c>
      <c r="B142" t="s">
        <v>36</v>
      </c>
      <c r="C142" s="5">
        <v>2.58</v>
      </c>
      <c r="D142" s="7">
        <v>100</v>
      </c>
      <c r="E142" s="6">
        <v>8.5399999999999991</v>
      </c>
      <c r="F142">
        <v>85</v>
      </c>
      <c r="G142" s="3">
        <v>45004.298611111109</v>
      </c>
      <c r="H142" s="3">
        <v>45004.368055555555</v>
      </c>
      <c r="I142" s="3">
        <v>45004.300694444442</v>
      </c>
      <c r="J142" s="3">
        <v>45004.370138888888</v>
      </c>
      <c r="K142" t="s">
        <v>16</v>
      </c>
      <c r="L142" t="s">
        <v>17</v>
      </c>
      <c r="M142" t="str">
        <f>VLOOKUP(Table1[[#This Row],[Job_Status]],$V$2:$W$4,2,FALSE)</f>
        <v>Good</v>
      </c>
      <c r="N142" s="7">
        <f>VLOOKUP(Table1[[#This Row],[Job_Status]],$V$2:$X$4,3,FALSE)</f>
        <v>0</v>
      </c>
    </row>
    <row r="143" spans="1:14" x14ac:dyDescent="0.3">
      <c r="A143" t="s">
        <v>40</v>
      </c>
      <c r="B143" t="s">
        <v>36</v>
      </c>
      <c r="C143" s="5">
        <v>2.4500000000000002</v>
      </c>
      <c r="D143" s="7">
        <v>100</v>
      </c>
      <c r="E143" s="6">
        <v>6</v>
      </c>
      <c r="F143">
        <v>91</v>
      </c>
      <c r="G143" s="3">
        <v>45004.305555555555</v>
      </c>
      <c r="H143" s="3">
        <v>45004.375</v>
      </c>
      <c r="I143" s="3">
        <v>45004.302777777775</v>
      </c>
      <c r="J143" s="3">
        <v>45004.37222222222</v>
      </c>
      <c r="K143" t="s">
        <v>16</v>
      </c>
      <c r="L143" t="s">
        <v>20</v>
      </c>
      <c r="M143" t="str">
        <f>VLOOKUP(Table1[[#This Row],[Job_Status]],$V$2:$W$4,2,FALSE)</f>
        <v>Good</v>
      </c>
      <c r="N143" s="7">
        <f>VLOOKUP(Table1[[#This Row],[Job_Status]],$V$2:$X$4,3,FALSE)</f>
        <v>0</v>
      </c>
    </row>
    <row r="144" spans="1:14" x14ac:dyDescent="0.3">
      <c r="A144" t="s">
        <v>40</v>
      </c>
      <c r="B144" t="s">
        <v>27</v>
      </c>
      <c r="C144" s="5">
        <v>2.69</v>
      </c>
      <c r="D144" s="7">
        <v>110</v>
      </c>
      <c r="E144" s="6">
        <v>3.75</v>
      </c>
      <c r="F144">
        <v>93</v>
      </c>
      <c r="G144" s="3">
        <v>45004.3125</v>
      </c>
      <c r="H144" s="3">
        <v>45004.388888888891</v>
      </c>
      <c r="I144" s="3">
        <v>45004.311111111114</v>
      </c>
      <c r="J144" s="3">
        <v>45004.387499999997</v>
      </c>
      <c r="K144" t="s">
        <v>16</v>
      </c>
      <c r="L144" t="s">
        <v>20</v>
      </c>
      <c r="M144" t="str">
        <f>VLOOKUP(Table1[[#This Row],[Job_Status]],$V$2:$W$4,2,FALSE)</f>
        <v>Good</v>
      </c>
      <c r="N144" s="7">
        <f>VLOOKUP(Table1[[#This Row],[Job_Status]],$V$2:$X$4,3,FALSE)</f>
        <v>0</v>
      </c>
    </row>
    <row r="145" spans="1:14" x14ac:dyDescent="0.3">
      <c r="A145" t="s">
        <v>40</v>
      </c>
      <c r="B145" t="s">
        <v>23</v>
      </c>
      <c r="C145" s="5">
        <v>4.0199999999999996</v>
      </c>
      <c r="D145" s="7">
        <v>33</v>
      </c>
      <c r="E145" s="6">
        <v>4.28</v>
      </c>
      <c r="F145">
        <v>87</v>
      </c>
      <c r="G145" s="3">
        <v>45004.319444444445</v>
      </c>
      <c r="H145" s="3">
        <v>45004.342361111114</v>
      </c>
      <c r="I145" s="3">
        <v>45004.337500000001</v>
      </c>
      <c r="J145" s="3">
        <v>45004.36041666667</v>
      </c>
      <c r="K145" t="s">
        <v>19</v>
      </c>
      <c r="L145" t="s">
        <v>20</v>
      </c>
      <c r="M145" t="str">
        <f>VLOOKUP(Table1[[#This Row],[Job_Status]],$V$2:$W$4,2,FALSE)</f>
        <v>Good</v>
      </c>
      <c r="N145" s="7">
        <f>VLOOKUP(Table1[[#This Row],[Job_Status]],$V$2:$X$4,3,FALSE)</f>
        <v>0</v>
      </c>
    </row>
    <row r="146" spans="1:14" x14ac:dyDescent="0.3">
      <c r="A146" t="s">
        <v>40</v>
      </c>
      <c r="B146" t="s">
        <v>32</v>
      </c>
      <c r="C146" s="5">
        <v>2.1</v>
      </c>
      <c r="D146" s="7">
        <v>47</v>
      </c>
      <c r="E146" s="6">
        <v>6.24</v>
      </c>
      <c r="F146">
        <v>87</v>
      </c>
      <c r="G146" s="3">
        <v>45004.326388888891</v>
      </c>
      <c r="H146" s="3">
        <v>45004.359027777777</v>
      </c>
      <c r="I146" s="3">
        <v>45004.322916666664</v>
      </c>
      <c r="J146" s="3">
        <v>45004.355555555558</v>
      </c>
      <c r="K146" t="s">
        <v>16</v>
      </c>
      <c r="L146" t="s">
        <v>20</v>
      </c>
      <c r="M146" t="str">
        <f>VLOOKUP(Table1[[#This Row],[Job_Status]],$V$2:$W$4,2,FALSE)</f>
        <v>Good</v>
      </c>
      <c r="N146" s="7">
        <f>VLOOKUP(Table1[[#This Row],[Job_Status]],$V$2:$X$4,3,FALSE)</f>
        <v>0</v>
      </c>
    </row>
    <row r="147" spans="1:14" x14ac:dyDescent="0.3">
      <c r="A147" t="s">
        <v>34</v>
      </c>
      <c r="B147" t="s">
        <v>27</v>
      </c>
      <c r="C147" s="5">
        <v>4.0199999999999996</v>
      </c>
      <c r="D147" s="7">
        <v>22</v>
      </c>
      <c r="E147" s="6">
        <v>7.26</v>
      </c>
      <c r="F147">
        <v>97</v>
      </c>
      <c r="G147" s="3">
        <v>45004.333333333336</v>
      </c>
      <c r="H147" s="3">
        <v>45004.348611111112</v>
      </c>
      <c r="I147" s="3">
        <v>45004.336805555555</v>
      </c>
      <c r="J147" s="3">
        <v>45004.352083333331</v>
      </c>
      <c r="K147" t="s">
        <v>16</v>
      </c>
      <c r="L147" t="s">
        <v>17</v>
      </c>
      <c r="M147" t="str">
        <f>VLOOKUP(Table1[[#This Row],[Job_Status]],$V$2:$W$4,2,FALSE)</f>
        <v>Good</v>
      </c>
      <c r="N147" s="7">
        <f>VLOOKUP(Table1[[#This Row],[Job_Status]],$V$2:$X$4,3,FALSE)</f>
        <v>0</v>
      </c>
    </row>
    <row r="148" spans="1:14" x14ac:dyDescent="0.3">
      <c r="A148" t="s">
        <v>14</v>
      </c>
      <c r="B148" t="s">
        <v>15</v>
      </c>
      <c r="C148" s="5">
        <v>2.02</v>
      </c>
      <c r="D148" s="7">
        <v>62</v>
      </c>
      <c r="E148" s="6">
        <v>2.21</v>
      </c>
      <c r="F148">
        <v>97</v>
      </c>
      <c r="G148" s="3">
        <v>45004.340277777781</v>
      </c>
      <c r="H148" s="3">
        <v>45004.383333333331</v>
      </c>
      <c r="K148" t="s">
        <v>24</v>
      </c>
      <c r="L148" t="s">
        <v>20</v>
      </c>
      <c r="M148" t="str">
        <f>VLOOKUP(Table1[[#This Row],[Job_Status]],$V$2:$W$4,2,FALSE)</f>
        <v>Defect</v>
      </c>
      <c r="N148" s="7">
        <f>VLOOKUP(Table1[[#This Row],[Job_Status]],$V$2:$X$4,3,FALSE)</f>
        <v>100</v>
      </c>
    </row>
    <row r="149" spans="1:14" x14ac:dyDescent="0.3">
      <c r="A149" t="s">
        <v>40</v>
      </c>
      <c r="B149" t="s">
        <v>27</v>
      </c>
      <c r="C149" s="5">
        <v>3.73</v>
      </c>
      <c r="D149" s="7">
        <v>29</v>
      </c>
      <c r="E149" s="6">
        <v>11.1</v>
      </c>
      <c r="F149">
        <v>88</v>
      </c>
      <c r="G149" s="3">
        <v>45004.347222222219</v>
      </c>
      <c r="H149" s="3">
        <v>45004.367361111108</v>
      </c>
      <c r="I149" s="3">
        <v>45004.367361111108</v>
      </c>
      <c r="J149" s="3">
        <v>45004.387499999997</v>
      </c>
      <c r="K149" t="s">
        <v>19</v>
      </c>
      <c r="L149" t="s">
        <v>20</v>
      </c>
      <c r="M149" t="str">
        <f>VLOOKUP(Table1[[#This Row],[Job_Status]],$V$2:$W$4,2,FALSE)</f>
        <v>Good</v>
      </c>
      <c r="N149" s="7">
        <f>VLOOKUP(Table1[[#This Row],[Job_Status]],$V$2:$X$4,3,FALSE)</f>
        <v>0</v>
      </c>
    </row>
    <row r="150" spans="1:14" x14ac:dyDescent="0.3">
      <c r="A150" t="s">
        <v>14</v>
      </c>
      <c r="B150" t="s">
        <v>27</v>
      </c>
      <c r="C150" s="5">
        <v>3.74</v>
      </c>
      <c r="D150" s="7">
        <v>39</v>
      </c>
      <c r="E150" s="6">
        <v>9.65</v>
      </c>
      <c r="F150">
        <v>87</v>
      </c>
      <c r="G150" s="3">
        <v>45004.354166666664</v>
      </c>
      <c r="H150" s="3">
        <v>45004.381249999999</v>
      </c>
      <c r="I150" s="3">
        <v>45004.354166666664</v>
      </c>
      <c r="J150" s="3">
        <v>45004.381249999999</v>
      </c>
      <c r="K150" t="s">
        <v>16</v>
      </c>
      <c r="L150" t="s">
        <v>28</v>
      </c>
      <c r="M150" t="str">
        <f>VLOOKUP(Table1[[#This Row],[Job_Status]],$V$2:$W$4,2,FALSE)</f>
        <v>Good</v>
      </c>
      <c r="N150" s="7">
        <f>VLOOKUP(Table1[[#This Row],[Job_Status]],$V$2:$X$4,3,FALSE)</f>
        <v>0</v>
      </c>
    </row>
    <row r="151" spans="1:14" x14ac:dyDescent="0.3">
      <c r="A151" t="s">
        <v>34</v>
      </c>
      <c r="B151" t="s">
        <v>27</v>
      </c>
      <c r="C151" s="5">
        <v>4.46</v>
      </c>
      <c r="D151" s="7">
        <v>100</v>
      </c>
      <c r="E151" s="6">
        <v>11.84</v>
      </c>
      <c r="F151">
        <v>95</v>
      </c>
      <c r="G151" s="3">
        <v>45004.361111111109</v>
      </c>
      <c r="H151" s="3">
        <v>45004.430555555555</v>
      </c>
      <c r="K151" t="s">
        <v>24</v>
      </c>
      <c r="L151" t="s">
        <v>20</v>
      </c>
      <c r="M151" t="str">
        <f>VLOOKUP(Table1[[#This Row],[Job_Status]],$V$2:$W$4,2,FALSE)</f>
        <v>Defect</v>
      </c>
      <c r="N151" s="7">
        <f>VLOOKUP(Table1[[#This Row],[Job_Status]],$V$2:$X$4,3,FALSE)</f>
        <v>100</v>
      </c>
    </row>
    <row r="152" spans="1:14" x14ac:dyDescent="0.3">
      <c r="A152" t="s">
        <v>40</v>
      </c>
      <c r="B152" t="s">
        <v>15</v>
      </c>
      <c r="C152" s="5">
        <v>4.97</v>
      </c>
      <c r="D152" s="7">
        <v>53</v>
      </c>
      <c r="E152" s="6">
        <v>12.4</v>
      </c>
      <c r="F152">
        <v>86</v>
      </c>
      <c r="G152" s="3">
        <v>45004.368055555555</v>
      </c>
      <c r="H152" s="3">
        <v>45004.404861111114</v>
      </c>
      <c r="I152" s="3">
        <v>45004.379166666666</v>
      </c>
      <c r="J152" s="3">
        <v>45004.415972222225</v>
      </c>
      <c r="K152" t="s">
        <v>19</v>
      </c>
      <c r="L152" t="s">
        <v>20</v>
      </c>
      <c r="M152" t="str">
        <f>VLOOKUP(Table1[[#This Row],[Job_Status]],$V$2:$W$4,2,FALSE)</f>
        <v>Good</v>
      </c>
      <c r="N152" s="7">
        <f>VLOOKUP(Table1[[#This Row],[Job_Status]],$V$2:$X$4,3,FALSE)</f>
        <v>0</v>
      </c>
    </row>
    <row r="153" spans="1:14" x14ac:dyDescent="0.3">
      <c r="A153" t="s">
        <v>30</v>
      </c>
      <c r="B153" t="s">
        <v>23</v>
      </c>
      <c r="C153" s="5">
        <v>4.41</v>
      </c>
      <c r="D153" s="7">
        <v>20</v>
      </c>
      <c r="E153" s="6">
        <v>13.63</v>
      </c>
      <c r="F153">
        <v>85</v>
      </c>
      <c r="G153" s="3">
        <v>45004.375</v>
      </c>
      <c r="H153" s="3">
        <v>45004.388888888891</v>
      </c>
      <c r="K153" t="s">
        <v>24</v>
      </c>
      <c r="L153" t="s">
        <v>20</v>
      </c>
      <c r="M153" t="str">
        <f>VLOOKUP(Table1[[#This Row],[Job_Status]],$V$2:$W$4,2,FALSE)</f>
        <v>Defect</v>
      </c>
      <c r="N153" s="7">
        <f>VLOOKUP(Table1[[#This Row],[Job_Status]],$V$2:$X$4,3,FALSE)</f>
        <v>100</v>
      </c>
    </row>
    <row r="154" spans="1:14" x14ac:dyDescent="0.3">
      <c r="A154" t="s">
        <v>34</v>
      </c>
      <c r="B154" t="s">
        <v>32</v>
      </c>
      <c r="C154" s="5">
        <v>1.82</v>
      </c>
      <c r="D154" s="7">
        <v>106</v>
      </c>
      <c r="E154" s="6">
        <v>9.32</v>
      </c>
      <c r="F154">
        <v>96</v>
      </c>
      <c r="G154" s="3">
        <v>45004.381944444445</v>
      </c>
      <c r="H154" s="3">
        <v>45004.455555555556</v>
      </c>
      <c r="I154" s="3">
        <v>45004.384722222225</v>
      </c>
      <c r="J154" s="3">
        <v>45004.458333333336</v>
      </c>
      <c r="K154" t="s">
        <v>16</v>
      </c>
      <c r="L154" t="s">
        <v>17</v>
      </c>
      <c r="M154" t="str">
        <f>VLOOKUP(Table1[[#This Row],[Job_Status]],$V$2:$W$4,2,FALSE)</f>
        <v>Good</v>
      </c>
      <c r="N154" s="7">
        <f>VLOOKUP(Table1[[#This Row],[Job_Status]],$V$2:$X$4,3,FALSE)</f>
        <v>0</v>
      </c>
    </row>
    <row r="155" spans="1:14" x14ac:dyDescent="0.3">
      <c r="A155" t="s">
        <v>34</v>
      </c>
      <c r="B155" t="s">
        <v>27</v>
      </c>
      <c r="C155" s="5">
        <v>1.73</v>
      </c>
      <c r="D155" s="7">
        <v>66</v>
      </c>
      <c r="E155" s="6">
        <v>5.45</v>
      </c>
      <c r="F155">
        <v>90</v>
      </c>
      <c r="G155" s="3">
        <v>45004.388888888891</v>
      </c>
      <c r="H155" s="3">
        <v>45004.43472222222</v>
      </c>
      <c r="I155" s="3">
        <v>45004.388888888891</v>
      </c>
      <c r="J155" s="3">
        <v>45004.43472222222</v>
      </c>
      <c r="K155" t="s">
        <v>16</v>
      </c>
      <c r="L155" t="s">
        <v>28</v>
      </c>
      <c r="M155" t="str">
        <f>VLOOKUP(Table1[[#This Row],[Job_Status]],$V$2:$W$4,2,FALSE)</f>
        <v>Good</v>
      </c>
      <c r="N155" s="7">
        <f>VLOOKUP(Table1[[#This Row],[Job_Status]],$V$2:$X$4,3,FALSE)</f>
        <v>0</v>
      </c>
    </row>
    <row r="156" spans="1:14" x14ac:dyDescent="0.3">
      <c r="A156" t="s">
        <v>30</v>
      </c>
      <c r="B156" t="s">
        <v>15</v>
      </c>
      <c r="C156" s="5">
        <v>2.11</v>
      </c>
      <c r="D156" s="7">
        <v>111</v>
      </c>
      <c r="E156" s="6">
        <v>7.67</v>
      </c>
      <c r="F156">
        <v>80</v>
      </c>
      <c r="G156" s="3">
        <v>45004.395833333336</v>
      </c>
      <c r="H156" s="3">
        <v>45004.472916666666</v>
      </c>
      <c r="I156" s="3">
        <v>45004.395138888889</v>
      </c>
      <c r="J156" s="3">
        <v>45004.472222222219</v>
      </c>
      <c r="K156" t="s">
        <v>16</v>
      </c>
      <c r="L156" t="s">
        <v>20</v>
      </c>
      <c r="M156" t="str">
        <f>VLOOKUP(Table1[[#This Row],[Job_Status]],$V$2:$W$4,2,FALSE)</f>
        <v>Good</v>
      </c>
      <c r="N156" s="7">
        <f>VLOOKUP(Table1[[#This Row],[Job_Status]],$V$2:$X$4,3,FALSE)</f>
        <v>0</v>
      </c>
    </row>
    <row r="157" spans="1:14" x14ac:dyDescent="0.3">
      <c r="A157" t="s">
        <v>40</v>
      </c>
      <c r="B157" t="s">
        <v>36</v>
      </c>
      <c r="C157" s="5">
        <v>3.57</v>
      </c>
      <c r="D157" s="7">
        <v>40</v>
      </c>
      <c r="E157" s="6">
        <v>9.8699999999999992</v>
      </c>
      <c r="F157">
        <v>82</v>
      </c>
      <c r="G157" s="3">
        <v>45004.402777777781</v>
      </c>
      <c r="H157" s="3">
        <v>45004.430555555555</v>
      </c>
      <c r="I157" s="3">
        <v>45004.40347222222</v>
      </c>
      <c r="J157" s="3">
        <v>45004.431250000001</v>
      </c>
      <c r="K157" t="s">
        <v>16</v>
      </c>
      <c r="L157" t="s">
        <v>17</v>
      </c>
      <c r="M157" t="str">
        <f>VLOOKUP(Table1[[#This Row],[Job_Status]],$V$2:$W$4,2,FALSE)</f>
        <v>Good</v>
      </c>
      <c r="N157" s="7">
        <f>VLOOKUP(Table1[[#This Row],[Job_Status]],$V$2:$X$4,3,FALSE)</f>
        <v>0</v>
      </c>
    </row>
    <row r="158" spans="1:14" x14ac:dyDescent="0.3">
      <c r="A158" t="s">
        <v>22</v>
      </c>
      <c r="B158" t="s">
        <v>32</v>
      </c>
      <c r="C158" s="5">
        <v>4.1399999999999997</v>
      </c>
      <c r="D158" s="7">
        <v>69</v>
      </c>
      <c r="E158" s="6">
        <v>14.55</v>
      </c>
      <c r="F158">
        <v>94</v>
      </c>
      <c r="G158" s="3">
        <v>45004.409722222219</v>
      </c>
      <c r="H158" s="3">
        <v>45004.457638888889</v>
      </c>
      <c r="K158" t="s">
        <v>24</v>
      </c>
      <c r="L158" t="s">
        <v>20</v>
      </c>
      <c r="M158" t="str">
        <f>VLOOKUP(Table1[[#This Row],[Job_Status]],$V$2:$W$4,2,FALSE)</f>
        <v>Defect</v>
      </c>
      <c r="N158" s="7">
        <f>VLOOKUP(Table1[[#This Row],[Job_Status]],$V$2:$X$4,3,FALSE)</f>
        <v>100</v>
      </c>
    </row>
    <row r="159" spans="1:14" x14ac:dyDescent="0.3">
      <c r="A159" t="s">
        <v>40</v>
      </c>
      <c r="B159" t="s">
        <v>15</v>
      </c>
      <c r="C159" s="5">
        <v>1.01</v>
      </c>
      <c r="D159" s="7">
        <v>59</v>
      </c>
      <c r="E159" s="6">
        <v>8.16</v>
      </c>
      <c r="F159">
        <v>91</v>
      </c>
      <c r="G159" s="3">
        <v>45004.416666666664</v>
      </c>
      <c r="H159" s="3">
        <v>45004.457638888889</v>
      </c>
      <c r="I159" s="3">
        <v>45004.420138888891</v>
      </c>
      <c r="J159" s="3">
        <v>45004.461111111108</v>
      </c>
      <c r="K159" t="s">
        <v>16</v>
      </c>
      <c r="L159" t="s">
        <v>17</v>
      </c>
      <c r="M159" t="str">
        <f>VLOOKUP(Table1[[#This Row],[Job_Status]],$V$2:$W$4,2,FALSE)</f>
        <v>Good</v>
      </c>
      <c r="N159" s="7">
        <f>VLOOKUP(Table1[[#This Row],[Job_Status]],$V$2:$X$4,3,FALSE)</f>
        <v>0</v>
      </c>
    </row>
    <row r="160" spans="1:14" x14ac:dyDescent="0.3">
      <c r="A160" t="s">
        <v>34</v>
      </c>
      <c r="B160" t="s">
        <v>36</v>
      </c>
      <c r="C160" s="5">
        <v>3.55</v>
      </c>
      <c r="D160" s="7">
        <v>113</v>
      </c>
      <c r="E160" s="6">
        <v>7.69</v>
      </c>
      <c r="F160">
        <v>80</v>
      </c>
      <c r="G160" s="3">
        <v>45004.423611111109</v>
      </c>
      <c r="H160" s="3">
        <v>45004.502083333333</v>
      </c>
      <c r="I160" s="3">
        <v>45004.423611111109</v>
      </c>
      <c r="J160" s="3">
        <v>45004.502083333333</v>
      </c>
      <c r="K160" t="s">
        <v>16</v>
      </c>
      <c r="L160" t="s">
        <v>28</v>
      </c>
      <c r="M160" t="str">
        <f>VLOOKUP(Table1[[#This Row],[Job_Status]],$V$2:$W$4,2,FALSE)</f>
        <v>Good</v>
      </c>
      <c r="N160" s="7">
        <f>VLOOKUP(Table1[[#This Row],[Job_Status]],$V$2:$X$4,3,FALSE)</f>
        <v>0</v>
      </c>
    </row>
    <row r="161" spans="1:14" x14ac:dyDescent="0.3">
      <c r="A161" t="s">
        <v>30</v>
      </c>
      <c r="B161" t="s">
        <v>32</v>
      </c>
      <c r="C161" s="5">
        <v>1.1499999999999999</v>
      </c>
      <c r="D161" s="7">
        <v>46</v>
      </c>
      <c r="E161" s="6">
        <v>3.01</v>
      </c>
      <c r="F161">
        <v>89</v>
      </c>
      <c r="G161" s="3">
        <v>45004.430555555555</v>
      </c>
      <c r="H161" s="3">
        <v>45004.462500000001</v>
      </c>
      <c r="I161" s="3">
        <v>45004.431944444441</v>
      </c>
      <c r="J161" s="3">
        <v>45004.463888888888</v>
      </c>
      <c r="K161" t="s">
        <v>16</v>
      </c>
      <c r="L161" t="s">
        <v>28</v>
      </c>
      <c r="M161" t="str">
        <f>VLOOKUP(Table1[[#This Row],[Job_Status]],$V$2:$W$4,2,FALSE)</f>
        <v>Good</v>
      </c>
      <c r="N161" s="7">
        <f>VLOOKUP(Table1[[#This Row],[Job_Status]],$V$2:$X$4,3,FALSE)</f>
        <v>0</v>
      </c>
    </row>
    <row r="162" spans="1:14" x14ac:dyDescent="0.3">
      <c r="A162" t="s">
        <v>14</v>
      </c>
      <c r="B162" t="s">
        <v>32</v>
      </c>
      <c r="C162" s="5">
        <v>4.25</v>
      </c>
      <c r="D162" s="7">
        <v>118</v>
      </c>
      <c r="E162" s="6">
        <v>9.57</v>
      </c>
      <c r="F162">
        <v>87</v>
      </c>
      <c r="G162" s="3">
        <v>45004.4375</v>
      </c>
      <c r="H162" s="3">
        <v>45004.519444444442</v>
      </c>
      <c r="I162" s="3">
        <v>45004.44027777778</v>
      </c>
      <c r="J162" s="3">
        <v>45004.522222222222</v>
      </c>
      <c r="K162" t="s">
        <v>16</v>
      </c>
      <c r="L162" t="s">
        <v>17</v>
      </c>
      <c r="M162" t="str">
        <f>VLOOKUP(Table1[[#This Row],[Job_Status]],$V$2:$W$4,2,FALSE)</f>
        <v>Good</v>
      </c>
      <c r="N162" s="7">
        <f>VLOOKUP(Table1[[#This Row],[Job_Status]],$V$2:$X$4,3,FALSE)</f>
        <v>0</v>
      </c>
    </row>
    <row r="163" spans="1:14" x14ac:dyDescent="0.3">
      <c r="A163" t="s">
        <v>22</v>
      </c>
      <c r="B163" t="s">
        <v>32</v>
      </c>
      <c r="C163" s="5">
        <v>3.8</v>
      </c>
      <c r="D163" s="7">
        <v>54</v>
      </c>
      <c r="E163" s="6">
        <v>10.3</v>
      </c>
      <c r="F163">
        <v>89</v>
      </c>
      <c r="G163" s="3">
        <v>45004.444444444445</v>
      </c>
      <c r="H163" s="3">
        <v>45004.481944444444</v>
      </c>
      <c r="I163" s="3">
        <v>45004.444444444445</v>
      </c>
      <c r="J163" s="3">
        <v>45004.481944444444</v>
      </c>
      <c r="K163" t="s">
        <v>16</v>
      </c>
      <c r="L163" t="s">
        <v>17</v>
      </c>
      <c r="M163" t="str">
        <f>VLOOKUP(Table1[[#This Row],[Job_Status]],$V$2:$W$4,2,FALSE)</f>
        <v>Good</v>
      </c>
      <c r="N163" s="7">
        <f>VLOOKUP(Table1[[#This Row],[Job_Status]],$V$2:$X$4,3,FALSE)</f>
        <v>0</v>
      </c>
    </row>
    <row r="164" spans="1:14" x14ac:dyDescent="0.3">
      <c r="A164" t="s">
        <v>14</v>
      </c>
      <c r="B164" t="s">
        <v>23</v>
      </c>
      <c r="C164" s="5">
        <v>2.25</v>
      </c>
      <c r="D164" s="7">
        <v>58</v>
      </c>
      <c r="E164" s="6">
        <v>11.7</v>
      </c>
      <c r="F164">
        <v>92</v>
      </c>
      <c r="G164" s="3">
        <v>45004.451388888891</v>
      </c>
      <c r="H164" s="3">
        <v>45004.491666666669</v>
      </c>
      <c r="I164" s="3">
        <v>45004.451388888891</v>
      </c>
      <c r="J164" s="3">
        <v>45004.491666666669</v>
      </c>
      <c r="K164" t="s">
        <v>16</v>
      </c>
      <c r="L164" t="s">
        <v>17</v>
      </c>
      <c r="M164" t="str">
        <f>VLOOKUP(Table1[[#This Row],[Job_Status]],$V$2:$W$4,2,FALSE)</f>
        <v>Good</v>
      </c>
      <c r="N164" s="7">
        <f>VLOOKUP(Table1[[#This Row],[Job_Status]],$V$2:$X$4,3,FALSE)</f>
        <v>0</v>
      </c>
    </row>
    <row r="165" spans="1:14" x14ac:dyDescent="0.3">
      <c r="A165" t="s">
        <v>14</v>
      </c>
      <c r="B165" t="s">
        <v>32</v>
      </c>
      <c r="C165" s="5">
        <v>4.4000000000000004</v>
      </c>
      <c r="D165" s="7">
        <v>43</v>
      </c>
      <c r="E165" s="6">
        <v>10.4</v>
      </c>
      <c r="F165">
        <v>80</v>
      </c>
      <c r="G165" s="3">
        <v>45004.458333333336</v>
      </c>
      <c r="H165" s="3">
        <v>45004.488194444442</v>
      </c>
      <c r="I165" s="3">
        <v>45004.457638888889</v>
      </c>
      <c r="J165" s="3">
        <v>45004.487500000003</v>
      </c>
      <c r="K165" t="s">
        <v>16</v>
      </c>
      <c r="L165" t="s">
        <v>20</v>
      </c>
      <c r="M165" t="str">
        <f>VLOOKUP(Table1[[#This Row],[Job_Status]],$V$2:$W$4,2,FALSE)</f>
        <v>Good</v>
      </c>
      <c r="N165" s="7">
        <f>VLOOKUP(Table1[[#This Row],[Job_Status]],$V$2:$X$4,3,FALSE)</f>
        <v>0</v>
      </c>
    </row>
    <row r="166" spans="1:14" x14ac:dyDescent="0.3">
      <c r="A166" t="s">
        <v>34</v>
      </c>
      <c r="B166" t="s">
        <v>23</v>
      </c>
      <c r="C166" s="5">
        <v>4.3499999999999996</v>
      </c>
      <c r="D166" s="7">
        <v>56</v>
      </c>
      <c r="E166" s="6">
        <v>4.22</v>
      </c>
      <c r="F166">
        <v>97</v>
      </c>
      <c r="G166" s="3">
        <v>45004.465277777781</v>
      </c>
      <c r="H166" s="3">
        <v>45004.504166666666</v>
      </c>
      <c r="I166" s="3">
        <v>45004.472222222219</v>
      </c>
      <c r="J166" s="3">
        <v>45004.511111111111</v>
      </c>
      <c r="K166" t="s">
        <v>19</v>
      </c>
      <c r="L166" t="s">
        <v>20</v>
      </c>
      <c r="M166" t="str">
        <f>VLOOKUP(Table1[[#This Row],[Job_Status]],$V$2:$W$4,2,FALSE)</f>
        <v>Good</v>
      </c>
      <c r="N166" s="7">
        <f>VLOOKUP(Table1[[#This Row],[Job_Status]],$V$2:$X$4,3,FALSE)</f>
        <v>0</v>
      </c>
    </row>
    <row r="167" spans="1:14" x14ac:dyDescent="0.3">
      <c r="A167" t="s">
        <v>22</v>
      </c>
      <c r="B167" t="s">
        <v>32</v>
      </c>
      <c r="C167" s="5">
        <v>3.28</v>
      </c>
      <c r="D167" s="7">
        <v>29</v>
      </c>
      <c r="E167" s="6">
        <v>7.32</v>
      </c>
      <c r="F167">
        <v>82</v>
      </c>
      <c r="G167" s="3">
        <v>45004.472222222219</v>
      </c>
      <c r="H167" s="3">
        <v>45004.492361111108</v>
      </c>
      <c r="I167" s="3">
        <v>45004.474999999999</v>
      </c>
      <c r="J167" s="3">
        <v>45004.495138888888</v>
      </c>
      <c r="K167" t="s">
        <v>16</v>
      </c>
      <c r="L167" t="s">
        <v>28</v>
      </c>
      <c r="M167" t="str">
        <f>VLOOKUP(Table1[[#This Row],[Job_Status]],$V$2:$W$4,2,FALSE)</f>
        <v>Good</v>
      </c>
      <c r="N167" s="7">
        <f>VLOOKUP(Table1[[#This Row],[Job_Status]],$V$2:$X$4,3,FALSE)</f>
        <v>0</v>
      </c>
    </row>
    <row r="168" spans="1:14" x14ac:dyDescent="0.3">
      <c r="A168" t="s">
        <v>22</v>
      </c>
      <c r="B168" t="s">
        <v>23</v>
      </c>
      <c r="C168" s="5">
        <v>3.71</v>
      </c>
      <c r="D168" s="7">
        <v>61</v>
      </c>
      <c r="E168" s="6">
        <v>11.52</v>
      </c>
      <c r="F168">
        <v>94</v>
      </c>
      <c r="G168" s="3">
        <v>45004.479166666664</v>
      </c>
      <c r="H168" s="3">
        <v>45004.521527777775</v>
      </c>
      <c r="K168" t="s">
        <v>24</v>
      </c>
      <c r="L168" t="s">
        <v>20</v>
      </c>
      <c r="M168" t="str">
        <f>VLOOKUP(Table1[[#This Row],[Job_Status]],$V$2:$W$4,2,FALSE)</f>
        <v>Defect</v>
      </c>
      <c r="N168" s="7">
        <f>VLOOKUP(Table1[[#This Row],[Job_Status]],$V$2:$X$4,3,FALSE)</f>
        <v>100</v>
      </c>
    </row>
    <row r="169" spans="1:14" x14ac:dyDescent="0.3">
      <c r="A169" t="s">
        <v>14</v>
      </c>
      <c r="B169" t="s">
        <v>15</v>
      </c>
      <c r="C169" s="5">
        <v>1.29</v>
      </c>
      <c r="D169" s="7">
        <v>35</v>
      </c>
      <c r="E169" s="6">
        <v>7.2</v>
      </c>
      <c r="F169">
        <v>94</v>
      </c>
      <c r="G169" s="3">
        <v>45004.486111111109</v>
      </c>
      <c r="H169" s="3">
        <v>45004.510416666664</v>
      </c>
      <c r="I169" s="3">
        <v>45004.489583333336</v>
      </c>
      <c r="J169" s="3">
        <v>45004.513888888891</v>
      </c>
      <c r="K169" t="s">
        <v>16</v>
      </c>
      <c r="L169" t="s">
        <v>17</v>
      </c>
      <c r="M169" t="str">
        <f>VLOOKUP(Table1[[#This Row],[Job_Status]],$V$2:$W$4,2,FALSE)</f>
        <v>Good</v>
      </c>
      <c r="N169" s="7">
        <f>VLOOKUP(Table1[[#This Row],[Job_Status]],$V$2:$X$4,3,FALSE)</f>
        <v>0</v>
      </c>
    </row>
    <row r="170" spans="1:14" x14ac:dyDescent="0.3">
      <c r="A170" t="s">
        <v>40</v>
      </c>
      <c r="B170" t="s">
        <v>15</v>
      </c>
      <c r="C170" s="5">
        <v>4.51</v>
      </c>
      <c r="D170" s="7">
        <v>37</v>
      </c>
      <c r="E170" s="6">
        <v>12.54</v>
      </c>
      <c r="F170">
        <v>99</v>
      </c>
      <c r="G170" s="3">
        <v>45004.493055555555</v>
      </c>
      <c r="H170" s="3">
        <v>45004.518750000003</v>
      </c>
      <c r="I170" s="3">
        <v>45004.509722222225</v>
      </c>
      <c r="J170" s="3">
        <v>45004.535416666666</v>
      </c>
      <c r="K170" t="s">
        <v>19</v>
      </c>
      <c r="L170" t="s">
        <v>20</v>
      </c>
      <c r="M170" t="str">
        <f>VLOOKUP(Table1[[#This Row],[Job_Status]],$V$2:$W$4,2,FALSE)</f>
        <v>Good</v>
      </c>
      <c r="N170" s="7">
        <f>VLOOKUP(Table1[[#This Row],[Job_Status]],$V$2:$X$4,3,FALSE)</f>
        <v>0</v>
      </c>
    </row>
    <row r="171" spans="1:14" x14ac:dyDescent="0.3">
      <c r="A171" t="s">
        <v>40</v>
      </c>
      <c r="B171" t="s">
        <v>27</v>
      </c>
      <c r="C171" s="5">
        <v>1.36</v>
      </c>
      <c r="D171" s="7">
        <v>23</v>
      </c>
      <c r="E171" s="6">
        <v>7.11</v>
      </c>
      <c r="F171">
        <v>92</v>
      </c>
      <c r="G171" s="3">
        <v>45004.5</v>
      </c>
      <c r="H171" s="3">
        <v>45004.515972222223</v>
      </c>
      <c r="I171" s="3">
        <v>45004.5</v>
      </c>
      <c r="J171" s="3">
        <v>45004.515972222223</v>
      </c>
      <c r="K171" t="s">
        <v>16</v>
      </c>
      <c r="L171" t="s">
        <v>28</v>
      </c>
      <c r="M171" t="str">
        <f>VLOOKUP(Table1[[#This Row],[Job_Status]],$V$2:$W$4,2,FALSE)</f>
        <v>Good</v>
      </c>
      <c r="N171" s="7">
        <f>VLOOKUP(Table1[[#This Row],[Job_Status]],$V$2:$X$4,3,FALSE)</f>
        <v>0</v>
      </c>
    </row>
    <row r="172" spans="1:14" x14ac:dyDescent="0.3">
      <c r="A172" t="s">
        <v>40</v>
      </c>
      <c r="B172" t="s">
        <v>32</v>
      </c>
      <c r="C172" s="5">
        <v>3.54</v>
      </c>
      <c r="D172" s="7">
        <v>102</v>
      </c>
      <c r="E172" s="6">
        <v>2.14</v>
      </c>
      <c r="F172">
        <v>99</v>
      </c>
      <c r="G172" s="3">
        <v>45004.506944444445</v>
      </c>
      <c r="H172" s="3">
        <v>45004.577777777777</v>
      </c>
      <c r="I172" s="3">
        <v>45004.504861111112</v>
      </c>
      <c r="J172" s="3">
        <v>45004.575694444444</v>
      </c>
      <c r="K172" t="s">
        <v>16</v>
      </c>
      <c r="L172" t="s">
        <v>20</v>
      </c>
      <c r="M172" t="str">
        <f>VLOOKUP(Table1[[#This Row],[Job_Status]],$V$2:$W$4,2,FALSE)</f>
        <v>Good</v>
      </c>
      <c r="N172" s="7">
        <f>VLOOKUP(Table1[[#This Row],[Job_Status]],$V$2:$X$4,3,FALSE)</f>
        <v>0</v>
      </c>
    </row>
    <row r="173" spans="1:14" x14ac:dyDescent="0.3">
      <c r="A173" t="s">
        <v>34</v>
      </c>
      <c r="B173" t="s">
        <v>36</v>
      </c>
      <c r="C173" s="5">
        <v>2.58</v>
      </c>
      <c r="D173" s="7">
        <v>72</v>
      </c>
      <c r="E173" s="6">
        <v>13.69</v>
      </c>
      <c r="F173">
        <v>83</v>
      </c>
      <c r="G173" s="3">
        <v>45004.513888888891</v>
      </c>
      <c r="H173" s="3">
        <v>45004.563888888886</v>
      </c>
      <c r="I173" s="3">
        <v>45004.511111111111</v>
      </c>
      <c r="J173" s="3">
        <v>45004.561111111114</v>
      </c>
      <c r="K173" t="s">
        <v>16</v>
      </c>
      <c r="L173" t="s">
        <v>20</v>
      </c>
      <c r="M173" t="str">
        <f>VLOOKUP(Table1[[#This Row],[Job_Status]],$V$2:$W$4,2,FALSE)</f>
        <v>Good</v>
      </c>
      <c r="N173" s="7">
        <f>VLOOKUP(Table1[[#This Row],[Job_Status]],$V$2:$X$4,3,FALSE)</f>
        <v>0</v>
      </c>
    </row>
    <row r="174" spans="1:14" x14ac:dyDescent="0.3">
      <c r="A174" t="s">
        <v>30</v>
      </c>
      <c r="B174" t="s">
        <v>27</v>
      </c>
      <c r="C174" s="5">
        <v>3.08</v>
      </c>
      <c r="D174" s="7">
        <v>81</v>
      </c>
      <c r="E174" s="6">
        <v>11.61</v>
      </c>
      <c r="F174">
        <v>80</v>
      </c>
      <c r="G174" s="3">
        <v>45004.520833333336</v>
      </c>
      <c r="H174" s="3">
        <v>45004.57708333333</v>
      </c>
      <c r="K174" t="s">
        <v>24</v>
      </c>
      <c r="L174" t="s">
        <v>20</v>
      </c>
      <c r="M174" t="str">
        <f>VLOOKUP(Table1[[#This Row],[Job_Status]],$V$2:$W$4,2,FALSE)</f>
        <v>Defect</v>
      </c>
      <c r="N174" s="7">
        <f>VLOOKUP(Table1[[#This Row],[Job_Status]],$V$2:$X$4,3,FALSE)</f>
        <v>100</v>
      </c>
    </row>
    <row r="175" spans="1:14" x14ac:dyDescent="0.3">
      <c r="A175" t="s">
        <v>30</v>
      </c>
      <c r="B175" t="s">
        <v>23</v>
      </c>
      <c r="C175" s="5">
        <v>1.85</v>
      </c>
      <c r="D175" s="7">
        <v>64</v>
      </c>
      <c r="E175" s="6">
        <v>12.14</v>
      </c>
      <c r="F175">
        <v>82</v>
      </c>
      <c r="G175" s="3">
        <v>45004.527777777781</v>
      </c>
      <c r="H175" s="3">
        <v>45004.572222222225</v>
      </c>
      <c r="I175" s="3">
        <v>45004.529861111114</v>
      </c>
      <c r="J175" s="3">
        <v>45004.574305555558</v>
      </c>
      <c r="K175" t="s">
        <v>16</v>
      </c>
      <c r="L175" t="s">
        <v>17</v>
      </c>
      <c r="M175" t="str">
        <f>VLOOKUP(Table1[[#This Row],[Job_Status]],$V$2:$W$4,2,FALSE)</f>
        <v>Good</v>
      </c>
      <c r="N175" s="7">
        <f>VLOOKUP(Table1[[#This Row],[Job_Status]],$V$2:$X$4,3,FALSE)</f>
        <v>0</v>
      </c>
    </row>
    <row r="176" spans="1:14" x14ac:dyDescent="0.3">
      <c r="A176" t="s">
        <v>14</v>
      </c>
      <c r="B176" t="s">
        <v>23</v>
      </c>
      <c r="C176" s="5">
        <v>2.44</v>
      </c>
      <c r="D176" s="7">
        <v>113</v>
      </c>
      <c r="E176" s="6">
        <v>12.49</v>
      </c>
      <c r="F176">
        <v>80</v>
      </c>
      <c r="G176" s="3">
        <v>45004.534722222219</v>
      </c>
      <c r="H176" s="3">
        <v>45004.613194444442</v>
      </c>
      <c r="I176" s="3">
        <v>45004.554166666669</v>
      </c>
      <c r="J176" s="3">
        <v>45004.632638888892</v>
      </c>
      <c r="K176" t="s">
        <v>19</v>
      </c>
      <c r="L176" t="s">
        <v>20</v>
      </c>
      <c r="M176" t="str">
        <f>VLOOKUP(Table1[[#This Row],[Job_Status]],$V$2:$W$4,2,FALSE)</f>
        <v>Good</v>
      </c>
      <c r="N176" s="7">
        <f>VLOOKUP(Table1[[#This Row],[Job_Status]],$V$2:$X$4,3,FALSE)</f>
        <v>0</v>
      </c>
    </row>
    <row r="177" spans="1:14" x14ac:dyDescent="0.3">
      <c r="A177" t="s">
        <v>22</v>
      </c>
      <c r="B177" t="s">
        <v>27</v>
      </c>
      <c r="C177" s="5">
        <v>4.82</v>
      </c>
      <c r="D177" s="7">
        <v>40</v>
      </c>
      <c r="E177" s="6">
        <v>8.16</v>
      </c>
      <c r="F177">
        <v>92</v>
      </c>
      <c r="G177" s="3">
        <v>45004.541666666664</v>
      </c>
      <c r="H177" s="3">
        <v>45004.569444444445</v>
      </c>
      <c r="K177" t="s">
        <v>24</v>
      </c>
      <c r="L177" t="s">
        <v>20</v>
      </c>
      <c r="M177" t="str">
        <f>VLOOKUP(Table1[[#This Row],[Job_Status]],$V$2:$W$4,2,FALSE)</f>
        <v>Defect</v>
      </c>
      <c r="N177" s="7">
        <f>VLOOKUP(Table1[[#This Row],[Job_Status]],$V$2:$X$4,3,FALSE)</f>
        <v>100</v>
      </c>
    </row>
    <row r="178" spans="1:14" x14ac:dyDescent="0.3">
      <c r="A178" t="s">
        <v>34</v>
      </c>
      <c r="B178" t="s">
        <v>32</v>
      </c>
      <c r="C178" s="5">
        <v>2.39</v>
      </c>
      <c r="D178" s="7">
        <v>100</v>
      </c>
      <c r="E178" s="6">
        <v>2.62</v>
      </c>
      <c r="F178">
        <v>95</v>
      </c>
      <c r="G178" s="3">
        <v>45004.548611111109</v>
      </c>
      <c r="H178" s="3">
        <v>45004.618055555555</v>
      </c>
      <c r="I178" s="3">
        <v>45004.55</v>
      </c>
      <c r="J178" s="3">
        <v>45004.619444444441</v>
      </c>
      <c r="K178" t="s">
        <v>16</v>
      </c>
      <c r="L178" t="s">
        <v>28</v>
      </c>
      <c r="M178" t="str">
        <f>VLOOKUP(Table1[[#This Row],[Job_Status]],$V$2:$W$4,2,FALSE)</f>
        <v>Good</v>
      </c>
      <c r="N178" s="7">
        <f>VLOOKUP(Table1[[#This Row],[Job_Status]],$V$2:$X$4,3,FALSE)</f>
        <v>0</v>
      </c>
    </row>
    <row r="179" spans="1:14" x14ac:dyDescent="0.3">
      <c r="A179" t="s">
        <v>30</v>
      </c>
      <c r="B179" t="s">
        <v>36</v>
      </c>
      <c r="C179" s="5">
        <v>3.51</v>
      </c>
      <c r="D179" s="7">
        <v>97</v>
      </c>
      <c r="E179" s="6">
        <v>9.08</v>
      </c>
      <c r="F179">
        <v>97</v>
      </c>
      <c r="G179" s="3">
        <v>45004.555555555555</v>
      </c>
      <c r="H179" s="3">
        <v>45004.622916666667</v>
      </c>
      <c r="I179" s="3">
        <v>45004.556944444441</v>
      </c>
      <c r="J179" s="3">
        <v>45004.624305555553</v>
      </c>
      <c r="K179" t="s">
        <v>16</v>
      </c>
      <c r="L179" t="s">
        <v>17</v>
      </c>
      <c r="M179" t="str">
        <f>VLOOKUP(Table1[[#This Row],[Job_Status]],$V$2:$W$4,2,FALSE)</f>
        <v>Good</v>
      </c>
      <c r="N179" s="7">
        <f>VLOOKUP(Table1[[#This Row],[Job_Status]],$V$2:$X$4,3,FALSE)</f>
        <v>0</v>
      </c>
    </row>
    <row r="180" spans="1:14" x14ac:dyDescent="0.3">
      <c r="A180" t="s">
        <v>14</v>
      </c>
      <c r="B180" t="s">
        <v>36</v>
      </c>
      <c r="C180" s="5">
        <v>4.43</v>
      </c>
      <c r="D180" s="7">
        <v>82</v>
      </c>
      <c r="E180" s="6">
        <v>10.58</v>
      </c>
      <c r="F180">
        <v>82</v>
      </c>
      <c r="G180" s="3">
        <v>45004.5625</v>
      </c>
      <c r="H180" s="3">
        <v>45004.619444444441</v>
      </c>
      <c r="I180" s="3">
        <v>45004.559027777781</v>
      </c>
      <c r="J180" s="3">
        <v>45004.615972222222</v>
      </c>
      <c r="K180" t="s">
        <v>16</v>
      </c>
      <c r="L180" t="s">
        <v>20</v>
      </c>
      <c r="M180" t="str">
        <f>VLOOKUP(Table1[[#This Row],[Job_Status]],$V$2:$W$4,2,FALSE)</f>
        <v>Good</v>
      </c>
      <c r="N180" s="7">
        <f>VLOOKUP(Table1[[#This Row],[Job_Status]],$V$2:$X$4,3,FALSE)</f>
        <v>0</v>
      </c>
    </row>
    <row r="181" spans="1:14" x14ac:dyDescent="0.3">
      <c r="A181" t="s">
        <v>40</v>
      </c>
      <c r="B181" t="s">
        <v>27</v>
      </c>
      <c r="C181" s="5">
        <v>1.58</v>
      </c>
      <c r="D181" s="7">
        <v>95</v>
      </c>
      <c r="E181" s="6">
        <v>14.17</v>
      </c>
      <c r="F181">
        <v>80</v>
      </c>
      <c r="G181" s="3">
        <v>45004.569444444445</v>
      </c>
      <c r="H181" s="3">
        <v>45004.635416666664</v>
      </c>
      <c r="I181" s="3">
        <v>45004.581944444442</v>
      </c>
      <c r="J181" s="3">
        <v>45004.647916666669</v>
      </c>
      <c r="K181" t="s">
        <v>19</v>
      </c>
      <c r="L181" t="s">
        <v>20</v>
      </c>
      <c r="M181" t="str">
        <f>VLOOKUP(Table1[[#This Row],[Job_Status]],$V$2:$W$4,2,FALSE)</f>
        <v>Good</v>
      </c>
      <c r="N181" s="7">
        <f>VLOOKUP(Table1[[#This Row],[Job_Status]],$V$2:$X$4,3,FALSE)</f>
        <v>0</v>
      </c>
    </row>
    <row r="182" spans="1:14" x14ac:dyDescent="0.3">
      <c r="A182" t="s">
        <v>30</v>
      </c>
      <c r="B182" t="s">
        <v>23</v>
      </c>
      <c r="C182" s="5">
        <v>3.46</v>
      </c>
      <c r="D182" s="7">
        <v>69</v>
      </c>
      <c r="E182" s="6">
        <v>3.76</v>
      </c>
      <c r="F182">
        <v>84</v>
      </c>
      <c r="G182" s="3">
        <v>45004.576388888891</v>
      </c>
      <c r="H182" s="3">
        <v>45004.624305555553</v>
      </c>
      <c r="I182" s="3">
        <v>45004.574999999997</v>
      </c>
      <c r="J182" s="3">
        <v>45004.622916666667</v>
      </c>
      <c r="K182" t="s">
        <v>16</v>
      </c>
      <c r="L182" t="s">
        <v>20</v>
      </c>
      <c r="M182" t="str">
        <f>VLOOKUP(Table1[[#This Row],[Job_Status]],$V$2:$W$4,2,FALSE)</f>
        <v>Good</v>
      </c>
      <c r="N182" s="7">
        <f>VLOOKUP(Table1[[#This Row],[Job_Status]],$V$2:$X$4,3,FALSE)</f>
        <v>0</v>
      </c>
    </row>
    <row r="183" spans="1:14" x14ac:dyDescent="0.3">
      <c r="A183" t="s">
        <v>30</v>
      </c>
      <c r="B183" t="s">
        <v>36</v>
      </c>
      <c r="C183" s="5">
        <v>3.55</v>
      </c>
      <c r="D183" s="7">
        <v>95</v>
      </c>
      <c r="E183" s="6">
        <v>6.4</v>
      </c>
      <c r="F183">
        <v>89</v>
      </c>
      <c r="G183" s="3">
        <v>45004.583333333336</v>
      </c>
      <c r="H183" s="3">
        <v>45004.649305555555</v>
      </c>
      <c r="I183" s="3">
        <v>45004.582638888889</v>
      </c>
      <c r="J183" s="3">
        <v>45004.648611111108</v>
      </c>
      <c r="K183" t="s">
        <v>16</v>
      </c>
      <c r="L183" t="s">
        <v>20</v>
      </c>
      <c r="M183" t="str">
        <f>VLOOKUP(Table1[[#This Row],[Job_Status]],$V$2:$W$4,2,FALSE)</f>
        <v>Good</v>
      </c>
      <c r="N183" s="7">
        <f>VLOOKUP(Table1[[#This Row],[Job_Status]],$V$2:$X$4,3,FALSE)</f>
        <v>0</v>
      </c>
    </row>
    <row r="184" spans="1:14" x14ac:dyDescent="0.3">
      <c r="A184" t="s">
        <v>14</v>
      </c>
      <c r="B184" t="s">
        <v>32</v>
      </c>
      <c r="C184" s="5">
        <v>1.49</v>
      </c>
      <c r="D184" s="7">
        <v>79</v>
      </c>
      <c r="E184" s="6">
        <v>6.22</v>
      </c>
      <c r="F184">
        <v>83</v>
      </c>
      <c r="G184" s="3">
        <v>45004.590277777781</v>
      </c>
      <c r="H184" s="3">
        <v>45004.645138888889</v>
      </c>
      <c r="K184" t="s">
        <v>24</v>
      </c>
      <c r="L184" t="s">
        <v>20</v>
      </c>
      <c r="M184" t="str">
        <f>VLOOKUP(Table1[[#This Row],[Job_Status]],$V$2:$W$4,2,FALSE)</f>
        <v>Defect</v>
      </c>
      <c r="N184" s="7">
        <f>VLOOKUP(Table1[[#This Row],[Job_Status]],$V$2:$X$4,3,FALSE)</f>
        <v>100</v>
      </c>
    </row>
    <row r="185" spans="1:14" x14ac:dyDescent="0.3">
      <c r="A185" t="s">
        <v>22</v>
      </c>
      <c r="B185" t="s">
        <v>36</v>
      </c>
      <c r="C185" s="5">
        <v>4.1100000000000003</v>
      </c>
      <c r="D185" s="7">
        <v>106</v>
      </c>
      <c r="E185" s="6">
        <v>12.25</v>
      </c>
      <c r="F185">
        <v>80</v>
      </c>
      <c r="G185" s="3">
        <v>45004.597222222219</v>
      </c>
      <c r="H185" s="3">
        <v>45004.67083333333</v>
      </c>
      <c r="I185" s="3">
        <v>45004.595138888886</v>
      </c>
      <c r="J185" s="3">
        <v>45004.668749999997</v>
      </c>
      <c r="K185" t="s">
        <v>16</v>
      </c>
      <c r="L185" t="s">
        <v>20</v>
      </c>
      <c r="M185" t="str">
        <f>VLOOKUP(Table1[[#This Row],[Job_Status]],$V$2:$W$4,2,FALSE)</f>
        <v>Good</v>
      </c>
      <c r="N185" s="7">
        <f>VLOOKUP(Table1[[#This Row],[Job_Status]],$V$2:$X$4,3,FALSE)</f>
        <v>0</v>
      </c>
    </row>
    <row r="186" spans="1:14" x14ac:dyDescent="0.3">
      <c r="A186" t="s">
        <v>22</v>
      </c>
      <c r="B186" t="s">
        <v>23</v>
      </c>
      <c r="C186" s="5">
        <v>3.52</v>
      </c>
      <c r="D186" s="7">
        <v>89</v>
      </c>
      <c r="E186" s="6">
        <v>9.6999999999999993</v>
      </c>
      <c r="F186">
        <v>99</v>
      </c>
      <c r="G186" s="3">
        <v>45004.604166666664</v>
      </c>
      <c r="H186" s="3">
        <v>45004.665972222225</v>
      </c>
      <c r="I186" s="3">
        <v>45004.607638888891</v>
      </c>
      <c r="J186" s="3">
        <v>45004.669444444444</v>
      </c>
      <c r="K186" t="s">
        <v>16</v>
      </c>
      <c r="L186" t="s">
        <v>17</v>
      </c>
      <c r="M186" t="str">
        <f>VLOOKUP(Table1[[#This Row],[Job_Status]],$V$2:$W$4,2,FALSE)</f>
        <v>Good</v>
      </c>
      <c r="N186" s="7">
        <f>VLOOKUP(Table1[[#This Row],[Job_Status]],$V$2:$X$4,3,FALSE)</f>
        <v>0</v>
      </c>
    </row>
    <row r="187" spans="1:14" x14ac:dyDescent="0.3">
      <c r="A187" t="s">
        <v>22</v>
      </c>
      <c r="B187" t="s">
        <v>15</v>
      </c>
      <c r="C187" s="5">
        <v>2</v>
      </c>
      <c r="D187" s="7">
        <v>50</v>
      </c>
      <c r="E187" s="6">
        <v>6.07</v>
      </c>
      <c r="F187">
        <v>85</v>
      </c>
      <c r="G187" s="3">
        <v>45004.611111111109</v>
      </c>
      <c r="H187" s="3">
        <v>45004.645833333336</v>
      </c>
      <c r="I187" s="3">
        <v>45004.611805555556</v>
      </c>
      <c r="J187" s="3">
        <v>45004.646527777775</v>
      </c>
      <c r="K187" t="s">
        <v>16</v>
      </c>
      <c r="L187" t="s">
        <v>28</v>
      </c>
      <c r="M187" t="str">
        <f>VLOOKUP(Table1[[#This Row],[Job_Status]],$V$2:$W$4,2,FALSE)</f>
        <v>Good</v>
      </c>
      <c r="N187" s="7">
        <f>VLOOKUP(Table1[[#This Row],[Job_Status]],$V$2:$X$4,3,FALSE)</f>
        <v>0</v>
      </c>
    </row>
    <row r="188" spans="1:14" x14ac:dyDescent="0.3">
      <c r="A188" t="s">
        <v>14</v>
      </c>
      <c r="B188" t="s">
        <v>32</v>
      </c>
      <c r="C188" s="5">
        <v>1.25</v>
      </c>
      <c r="D188" s="7">
        <v>70</v>
      </c>
      <c r="E188" s="6">
        <v>12.13</v>
      </c>
      <c r="F188">
        <v>82</v>
      </c>
      <c r="G188" s="3">
        <v>45004.618055555555</v>
      </c>
      <c r="H188" s="3">
        <v>45004.666666666664</v>
      </c>
      <c r="I188" s="3">
        <v>45004.615277777775</v>
      </c>
      <c r="J188" s="3">
        <v>45004.663888888892</v>
      </c>
      <c r="K188" t="s">
        <v>16</v>
      </c>
      <c r="L188" t="s">
        <v>20</v>
      </c>
      <c r="M188" t="str">
        <f>VLOOKUP(Table1[[#This Row],[Job_Status]],$V$2:$W$4,2,FALSE)</f>
        <v>Good</v>
      </c>
      <c r="N188" s="7">
        <f>VLOOKUP(Table1[[#This Row],[Job_Status]],$V$2:$X$4,3,FALSE)</f>
        <v>0</v>
      </c>
    </row>
    <row r="189" spans="1:14" x14ac:dyDescent="0.3">
      <c r="A189" t="s">
        <v>22</v>
      </c>
      <c r="B189" t="s">
        <v>23</v>
      </c>
      <c r="C189" s="5">
        <v>1.27</v>
      </c>
      <c r="D189" s="7">
        <v>110</v>
      </c>
      <c r="E189" s="6">
        <v>10.29</v>
      </c>
      <c r="F189">
        <v>80</v>
      </c>
      <c r="G189" s="3">
        <v>45004.625</v>
      </c>
      <c r="H189" s="3">
        <v>45004.701388888891</v>
      </c>
      <c r="K189" t="s">
        <v>24</v>
      </c>
      <c r="L189" t="s">
        <v>20</v>
      </c>
      <c r="M189" t="str">
        <f>VLOOKUP(Table1[[#This Row],[Job_Status]],$V$2:$W$4,2,FALSE)</f>
        <v>Defect</v>
      </c>
      <c r="N189" s="7">
        <f>VLOOKUP(Table1[[#This Row],[Job_Status]],$V$2:$X$4,3,FALSE)</f>
        <v>100</v>
      </c>
    </row>
    <row r="190" spans="1:14" x14ac:dyDescent="0.3">
      <c r="A190" t="s">
        <v>30</v>
      </c>
      <c r="B190" t="s">
        <v>15</v>
      </c>
      <c r="C190" s="5">
        <v>2.61</v>
      </c>
      <c r="D190" s="7">
        <v>90</v>
      </c>
      <c r="E190" s="6">
        <v>9.18</v>
      </c>
      <c r="F190">
        <v>83</v>
      </c>
      <c r="G190" s="3">
        <v>45004.631944444445</v>
      </c>
      <c r="H190" s="3">
        <v>45004.694444444445</v>
      </c>
      <c r="I190" s="3">
        <v>45004.631249999999</v>
      </c>
      <c r="J190" s="3">
        <v>45004.693749999999</v>
      </c>
      <c r="K190" t="s">
        <v>16</v>
      </c>
      <c r="L190" t="s">
        <v>20</v>
      </c>
      <c r="M190" t="str">
        <f>VLOOKUP(Table1[[#This Row],[Job_Status]],$V$2:$W$4,2,FALSE)</f>
        <v>Good</v>
      </c>
      <c r="N190" s="7">
        <f>VLOOKUP(Table1[[#This Row],[Job_Status]],$V$2:$X$4,3,FALSE)</f>
        <v>0</v>
      </c>
    </row>
    <row r="191" spans="1:14" x14ac:dyDescent="0.3">
      <c r="A191" t="s">
        <v>40</v>
      </c>
      <c r="B191" t="s">
        <v>36</v>
      </c>
      <c r="C191" s="5">
        <v>3.38</v>
      </c>
      <c r="D191" s="7">
        <v>50</v>
      </c>
      <c r="E191" s="6">
        <v>11.6</v>
      </c>
      <c r="F191">
        <v>86</v>
      </c>
      <c r="G191" s="3">
        <v>45004.638888888891</v>
      </c>
      <c r="H191" s="3">
        <v>45004.673611111109</v>
      </c>
      <c r="I191" s="3">
        <v>45004.640972222223</v>
      </c>
      <c r="J191" s="3">
        <v>45004.675694444442</v>
      </c>
      <c r="K191" t="s">
        <v>16</v>
      </c>
      <c r="L191" t="s">
        <v>17</v>
      </c>
      <c r="M191" t="str">
        <f>VLOOKUP(Table1[[#This Row],[Job_Status]],$V$2:$W$4,2,FALSE)</f>
        <v>Good</v>
      </c>
      <c r="N191" s="7">
        <f>VLOOKUP(Table1[[#This Row],[Job_Status]],$V$2:$X$4,3,FALSE)</f>
        <v>0</v>
      </c>
    </row>
    <row r="192" spans="1:14" x14ac:dyDescent="0.3">
      <c r="A192" t="s">
        <v>22</v>
      </c>
      <c r="B192" t="s">
        <v>32</v>
      </c>
      <c r="C192" s="5">
        <v>1.94</v>
      </c>
      <c r="D192" s="7">
        <v>50</v>
      </c>
      <c r="E192" s="6">
        <v>10.25</v>
      </c>
      <c r="F192">
        <v>97</v>
      </c>
      <c r="G192" s="3">
        <v>45004.645833333336</v>
      </c>
      <c r="H192" s="3">
        <v>45004.680555555555</v>
      </c>
      <c r="I192" s="3">
        <v>45004.663888888892</v>
      </c>
      <c r="J192" s="3">
        <v>45004.698611111111</v>
      </c>
      <c r="K192" t="s">
        <v>19</v>
      </c>
      <c r="L192" t="s">
        <v>20</v>
      </c>
      <c r="M192" t="str">
        <f>VLOOKUP(Table1[[#This Row],[Job_Status]],$V$2:$W$4,2,FALSE)</f>
        <v>Good</v>
      </c>
      <c r="N192" s="7">
        <f>VLOOKUP(Table1[[#This Row],[Job_Status]],$V$2:$X$4,3,FALSE)</f>
        <v>0</v>
      </c>
    </row>
    <row r="193" spans="1:14" x14ac:dyDescent="0.3">
      <c r="A193" t="s">
        <v>14</v>
      </c>
      <c r="B193" t="s">
        <v>32</v>
      </c>
      <c r="C193" s="5">
        <v>4.16</v>
      </c>
      <c r="D193" s="7">
        <v>114</v>
      </c>
      <c r="E193" s="6">
        <v>5.81</v>
      </c>
      <c r="F193">
        <v>89</v>
      </c>
      <c r="G193" s="3">
        <v>45004.652777777781</v>
      </c>
      <c r="H193" s="3">
        <v>45004.731944444444</v>
      </c>
      <c r="I193" s="3">
        <v>45004.65625</v>
      </c>
      <c r="J193" s="3">
        <v>45004.73541666667</v>
      </c>
      <c r="K193" t="s">
        <v>16</v>
      </c>
      <c r="L193" t="s">
        <v>28</v>
      </c>
      <c r="M193" t="str">
        <f>VLOOKUP(Table1[[#This Row],[Job_Status]],$V$2:$W$4,2,FALSE)</f>
        <v>Good</v>
      </c>
      <c r="N193" s="7">
        <f>VLOOKUP(Table1[[#This Row],[Job_Status]],$V$2:$X$4,3,FALSE)</f>
        <v>0</v>
      </c>
    </row>
    <row r="194" spans="1:14" x14ac:dyDescent="0.3">
      <c r="A194" t="s">
        <v>40</v>
      </c>
      <c r="B194" t="s">
        <v>36</v>
      </c>
      <c r="C194" s="5">
        <v>1.04</v>
      </c>
      <c r="D194" s="7">
        <v>100</v>
      </c>
      <c r="E194" s="6">
        <v>6.93</v>
      </c>
      <c r="F194">
        <v>82</v>
      </c>
      <c r="G194" s="3">
        <v>45004.659722222219</v>
      </c>
      <c r="H194" s="3">
        <v>45004.729166666664</v>
      </c>
      <c r="I194" s="3">
        <v>45004.657638888886</v>
      </c>
      <c r="J194" s="3">
        <v>45004.727083333331</v>
      </c>
      <c r="K194" t="s">
        <v>16</v>
      </c>
      <c r="L194" t="s">
        <v>20</v>
      </c>
      <c r="M194" t="str">
        <f>VLOOKUP(Table1[[#This Row],[Job_Status]],$V$2:$W$4,2,FALSE)</f>
        <v>Good</v>
      </c>
      <c r="N194" s="7">
        <f>VLOOKUP(Table1[[#This Row],[Job_Status]],$V$2:$X$4,3,FALSE)</f>
        <v>0</v>
      </c>
    </row>
    <row r="195" spans="1:14" x14ac:dyDescent="0.3">
      <c r="A195" t="s">
        <v>22</v>
      </c>
      <c r="B195" t="s">
        <v>36</v>
      </c>
      <c r="C195" s="5">
        <v>4.82</v>
      </c>
      <c r="D195" s="7">
        <v>80</v>
      </c>
      <c r="E195" s="6">
        <v>14.08</v>
      </c>
      <c r="F195">
        <v>80</v>
      </c>
      <c r="G195" s="3">
        <v>45004.666666666664</v>
      </c>
      <c r="H195" s="3">
        <v>45004.722222222219</v>
      </c>
      <c r="I195" s="3">
        <v>45004.666666666664</v>
      </c>
      <c r="J195" s="3">
        <v>45004.722222222219</v>
      </c>
      <c r="K195" t="s">
        <v>16</v>
      </c>
      <c r="L195" t="s">
        <v>17</v>
      </c>
      <c r="M195" t="str">
        <f>VLOOKUP(Table1[[#This Row],[Job_Status]],$V$2:$W$4,2,FALSE)</f>
        <v>Good</v>
      </c>
      <c r="N195" s="7">
        <f>VLOOKUP(Table1[[#This Row],[Job_Status]],$V$2:$X$4,3,FALSE)</f>
        <v>0</v>
      </c>
    </row>
    <row r="196" spans="1:14" x14ac:dyDescent="0.3">
      <c r="A196" t="s">
        <v>40</v>
      </c>
      <c r="B196" t="s">
        <v>27</v>
      </c>
      <c r="C196" s="5">
        <v>4.8099999999999996</v>
      </c>
      <c r="D196" s="7">
        <v>57</v>
      </c>
      <c r="E196" s="6">
        <v>8.84</v>
      </c>
      <c r="F196">
        <v>94</v>
      </c>
      <c r="G196" s="3">
        <v>45004.673611111109</v>
      </c>
      <c r="H196" s="3">
        <v>45004.713194444441</v>
      </c>
      <c r="I196" s="3">
        <v>45004.677083333336</v>
      </c>
      <c r="J196" s="3">
        <v>45004.716666666667</v>
      </c>
      <c r="K196" t="s">
        <v>16</v>
      </c>
      <c r="L196" t="s">
        <v>17</v>
      </c>
      <c r="M196" t="str">
        <f>VLOOKUP(Table1[[#This Row],[Job_Status]],$V$2:$W$4,2,FALSE)</f>
        <v>Good</v>
      </c>
      <c r="N196" s="7">
        <f>VLOOKUP(Table1[[#This Row],[Job_Status]],$V$2:$X$4,3,FALSE)</f>
        <v>0</v>
      </c>
    </row>
    <row r="197" spans="1:14" x14ac:dyDescent="0.3">
      <c r="A197" t="s">
        <v>30</v>
      </c>
      <c r="B197" t="s">
        <v>36</v>
      </c>
      <c r="C197" s="5">
        <v>2.5299999999999998</v>
      </c>
      <c r="D197" s="7">
        <v>88</v>
      </c>
      <c r="E197" s="6">
        <v>7.32</v>
      </c>
      <c r="F197">
        <v>87</v>
      </c>
      <c r="G197" s="3">
        <v>45004.680555555555</v>
      </c>
      <c r="H197" s="3">
        <v>45004.741666666669</v>
      </c>
      <c r="I197" s="3">
        <v>45004.684027777781</v>
      </c>
      <c r="J197" s="3">
        <v>45004.745138888888</v>
      </c>
      <c r="K197" t="s">
        <v>16</v>
      </c>
      <c r="L197" t="s">
        <v>17</v>
      </c>
      <c r="M197" t="str">
        <f>VLOOKUP(Table1[[#This Row],[Job_Status]],$V$2:$W$4,2,FALSE)</f>
        <v>Good</v>
      </c>
      <c r="N197" s="7">
        <f>VLOOKUP(Table1[[#This Row],[Job_Status]],$V$2:$X$4,3,FALSE)</f>
        <v>0</v>
      </c>
    </row>
    <row r="198" spans="1:14" x14ac:dyDescent="0.3">
      <c r="A198" t="s">
        <v>30</v>
      </c>
      <c r="B198" t="s">
        <v>36</v>
      </c>
      <c r="C198" s="5">
        <v>1.48</v>
      </c>
      <c r="D198" s="7">
        <v>56</v>
      </c>
      <c r="E198" s="6">
        <v>8.84</v>
      </c>
      <c r="F198">
        <v>93</v>
      </c>
      <c r="G198" s="3">
        <v>45004.6875</v>
      </c>
      <c r="H198" s="3">
        <v>45004.726388888892</v>
      </c>
      <c r="I198" s="3">
        <v>45004.685416666667</v>
      </c>
      <c r="J198" s="3">
        <v>45004.724305555559</v>
      </c>
      <c r="K198" t="s">
        <v>16</v>
      </c>
      <c r="L198" t="s">
        <v>20</v>
      </c>
      <c r="M198" t="str">
        <f>VLOOKUP(Table1[[#This Row],[Job_Status]],$V$2:$W$4,2,FALSE)</f>
        <v>Good</v>
      </c>
      <c r="N198" s="7">
        <f>VLOOKUP(Table1[[#This Row],[Job_Status]],$V$2:$X$4,3,FALSE)</f>
        <v>0</v>
      </c>
    </row>
    <row r="199" spans="1:14" x14ac:dyDescent="0.3">
      <c r="A199" t="s">
        <v>34</v>
      </c>
      <c r="B199" t="s">
        <v>36</v>
      </c>
      <c r="C199" s="5">
        <v>1.01</v>
      </c>
      <c r="D199" s="7">
        <v>21</v>
      </c>
      <c r="E199" s="6">
        <v>9.75</v>
      </c>
      <c r="F199">
        <v>88</v>
      </c>
      <c r="G199" s="3">
        <v>45004.694444444445</v>
      </c>
      <c r="H199" s="3">
        <v>45004.709027777775</v>
      </c>
      <c r="I199" s="3">
        <v>45004.702777777777</v>
      </c>
      <c r="J199" s="3">
        <v>45004.717361111114</v>
      </c>
      <c r="K199" t="s">
        <v>19</v>
      </c>
      <c r="L199" t="s">
        <v>20</v>
      </c>
      <c r="M199" t="str">
        <f>VLOOKUP(Table1[[#This Row],[Job_Status]],$V$2:$W$4,2,FALSE)</f>
        <v>Good</v>
      </c>
      <c r="N199" s="7">
        <f>VLOOKUP(Table1[[#This Row],[Job_Status]],$V$2:$X$4,3,FALSE)</f>
        <v>0</v>
      </c>
    </row>
    <row r="200" spans="1:14" x14ac:dyDescent="0.3">
      <c r="A200" t="s">
        <v>22</v>
      </c>
      <c r="B200" t="s">
        <v>32</v>
      </c>
      <c r="C200" s="5">
        <v>2.33</v>
      </c>
      <c r="D200" s="7">
        <v>74</v>
      </c>
      <c r="E200" s="6">
        <v>2.46</v>
      </c>
      <c r="F200">
        <v>92</v>
      </c>
      <c r="G200" s="3">
        <v>45004.701388888891</v>
      </c>
      <c r="H200" s="3">
        <v>45004.75277777778</v>
      </c>
      <c r="I200" s="3">
        <v>45004.70208333333</v>
      </c>
      <c r="J200" s="3">
        <v>45004.753472222219</v>
      </c>
      <c r="K200" t="s">
        <v>16</v>
      </c>
      <c r="L200" t="s">
        <v>43</v>
      </c>
      <c r="M200" t="str">
        <f>VLOOKUP(Table1[[#This Row],[Job_Status]],$V$2:$W$4,2,FALSE)</f>
        <v>Good</v>
      </c>
      <c r="N200" s="7">
        <f>VLOOKUP(Table1[[#This Row],[Job_Status]],$V$2:$X$4,3,FALSE)</f>
        <v>0</v>
      </c>
    </row>
    <row r="201" spans="1:14" x14ac:dyDescent="0.3">
      <c r="A201" t="s">
        <v>22</v>
      </c>
      <c r="B201" t="s">
        <v>27</v>
      </c>
      <c r="C201" s="5">
        <v>4.5199999999999996</v>
      </c>
      <c r="D201" s="7">
        <v>90</v>
      </c>
      <c r="E201" s="6">
        <v>7.61</v>
      </c>
      <c r="F201">
        <v>94</v>
      </c>
      <c r="G201" s="3">
        <v>45004.708333333336</v>
      </c>
      <c r="H201" s="3">
        <v>45004.770833333336</v>
      </c>
      <c r="I201" s="3">
        <v>45004.708333333336</v>
      </c>
      <c r="J201" s="3">
        <v>45004.770833333336</v>
      </c>
      <c r="K201" t="s">
        <v>16</v>
      </c>
      <c r="L201" t="s">
        <v>28</v>
      </c>
      <c r="M201" t="str">
        <f>VLOOKUP(Table1[[#This Row],[Job_Status]],$V$2:$W$4,2,FALSE)</f>
        <v>Good</v>
      </c>
      <c r="N201" s="7">
        <f>VLOOKUP(Table1[[#This Row],[Job_Status]],$V$2:$X$4,3,FALSE)</f>
        <v>0</v>
      </c>
    </row>
    <row r="202" spans="1:14" x14ac:dyDescent="0.3">
      <c r="A202" t="s">
        <v>30</v>
      </c>
      <c r="B202" t="s">
        <v>27</v>
      </c>
      <c r="C202" s="5">
        <v>2.04</v>
      </c>
      <c r="D202" s="7">
        <v>84</v>
      </c>
      <c r="E202" s="6">
        <v>7.96</v>
      </c>
      <c r="F202">
        <v>94</v>
      </c>
      <c r="G202" s="3">
        <v>45004.715277777781</v>
      </c>
      <c r="H202" s="3">
        <v>45004.773611111108</v>
      </c>
      <c r="I202" s="3">
        <v>45004.713888888888</v>
      </c>
      <c r="J202" s="3">
        <v>45004.772222222222</v>
      </c>
      <c r="K202" t="s">
        <v>16</v>
      </c>
      <c r="L202" t="s">
        <v>20</v>
      </c>
      <c r="M202" t="str">
        <f>VLOOKUP(Table1[[#This Row],[Job_Status]],$V$2:$W$4,2,FALSE)</f>
        <v>Good</v>
      </c>
      <c r="N202" s="7">
        <f>VLOOKUP(Table1[[#This Row],[Job_Status]],$V$2:$X$4,3,FALSE)</f>
        <v>0</v>
      </c>
    </row>
    <row r="203" spans="1:14" x14ac:dyDescent="0.3">
      <c r="A203" t="s">
        <v>22</v>
      </c>
      <c r="B203" t="s">
        <v>23</v>
      </c>
      <c r="C203" s="5">
        <v>2.14</v>
      </c>
      <c r="D203" s="7">
        <v>52</v>
      </c>
      <c r="E203" s="6">
        <v>9.24</v>
      </c>
      <c r="F203">
        <v>95</v>
      </c>
      <c r="G203" s="3">
        <v>45004.722222222219</v>
      </c>
      <c r="H203" s="3">
        <v>45004.758333333331</v>
      </c>
      <c r="K203" t="s">
        <v>24</v>
      </c>
      <c r="L203" t="s">
        <v>20</v>
      </c>
      <c r="M203" t="str">
        <f>VLOOKUP(Table1[[#This Row],[Job_Status]],$V$2:$W$4,2,FALSE)</f>
        <v>Defect</v>
      </c>
      <c r="N203" s="7">
        <f>VLOOKUP(Table1[[#This Row],[Job_Status]],$V$2:$X$4,3,FALSE)</f>
        <v>100</v>
      </c>
    </row>
    <row r="204" spans="1:14" x14ac:dyDescent="0.3">
      <c r="A204" t="s">
        <v>30</v>
      </c>
      <c r="B204" t="s">
        <v>36</v>
      </c>
      <c r="C204" s="5">
        <v>4.62</v>
      </c>
      <c r="D204" s="7">
        <v>82</v>
      </c>
      <c r="E204" s="6">
        <v>10.119999999999999</v>
      </c>
      <c r="F204">
        <v>90</v>
      </c>
      <c r="G204" s="3">
        <v>45004.729166666664</v>
      </c>
      <c r="H204" s="3">
        <v>45004.786111111112</v>
      </c>
      <c r="K204" t="s">
        <v>24</v>
      </c>
      <c r="L204" t="s">
        <v>20</v>
      </c>
      <c r="M204" t="str">
        <f>VLOOKUP(Table1[[#This Row],[Job_Status]],$V$2:$W$4,2,FALSE)</f>
        <v>Defect</v>
      </c>
      <c r="N204" s="7">
        <f>VLOOKUP(Table1[[#This Row],[Job_Status]],$V$2:$X$4,3,FALSE)</f>
        <v>100</v>
      </c>
    </row>
    <row r="205" spans="1:14" x14ac:dyDescent="0.3">
      <c r="A205" t="s">
        <v>34</v>
      </c>
      <c r="B205" t="s">
        <v>23</v>
      </c>
      <c r="C205" s="5">
        <v>1.91</v>
      </c>
      <c r="D205" s="7">
        <v>61</v>
      </c>
      <c r="E205" s="6">
        <v>3.81</v>
      </c>
      <c r="F205">
        <v>89</v>
      </c>
      <c r="G205" s="3">
        <v>45004.736111111109</v>
      </c>
      <c r="H205" s="3">
        <v>45004.77847222222</v>
      </c>
      <c r="I205" s="3">
        <v>45004.75277777778</v>
      </c>
      <c r="J205" s="3">
        <v>45004.795138888891</v>
      </c>
      <c r="K205" t="s">
        <v>19</v>
      </c>
      <c r="L205" t="s">
        <v>20</v>
      </c>
      <c r="M205" t="str">
        <f>VLOOKUP(Table1[[#This Row],[Job_Status]],$V$2:$W$4,2,FALSE)</f>
        <v>Good</v>
      </c>
      <c r="N205" s="7">
        <f>VLOOKUP(Table1[[#This Row],[Job_Status]],$V$2:$X$4,3,FALSE)</f>
        <v>0</v>
      </c>
    </row>
    <row r="206" spans="1:14" x14ac:dyDescent="0.3">
      <c r="A206" t="s">
        <v>30</v>
      </c>
      <c r="B206" t="s">
        <v>15</v>
      </c>
      <c r="C206" s="5">
        <v>1.66</v>
      </c>
      <c r="D206" s="7">
        <v>113</v>
      </c>
      <c r="E206" s="6">
        <v>5.93</v>
      </c>
      <c r="F206">
        <v>80</v>
      </c>
      <c r="G206" s="3">
        <v>45004.743055555555</v>
      </c>
      <c r="H206" s="3">
        <v>45004.821527777778</v>
      </c>
      <c r="I206" s="3">
        <v>45004.740972222222</v>
      </c>
      <c r="J206" s="3">
        <v>45004.819444444445</v>
      </c>
      <c r="K206" t="s">
        <v>16</v>
      </c>
      <c r="L206" t="s">
        <v>20</v>
      </c>
      <c r="M206" t="str">
        <f>VLOOKUP(Table1[[#This Row],[Job_Status]],$V$2:$W$4,2,FALSE)</f>
        <v>Good</v>
      </c>
      <c r="N206" s="7">
        <f>VLOOKUP(Table1[[#This Row],[Job_Status]],$V$2:$X$4,3,FALSE)</f>
        <v>0</v>
      </c>
    </row>
    <row r="207" spans="1:14" x14ac:dyDescent="0.3">
      <c r="A207" t="s">
        <v>22</v>
      </c>
      <c r="B207" t="s">
        <v>32</v>
      </c>
      <c r="C207" s="5">
        <v>1.02</v>
      </c>
      <c r="D207" s="7">
        <v>89</v>
      </c>
      <c r="E207" s="6">
        <v>10.18</v>
      </c>
      <c r="F207">
        <v>82</v>
      </c>
      <c r="G207" s="3">
        <v>45004.75</v>
      </c>
      <c r="H207" s="3">
        <v>45004.811805555553</v>
      </c>
      <c r="K207" t="s">
        <v>24</v>
      </c>
      <c r="L207" t="s">
        <v>20</v>
      </c>
      <c r="M207" t="str">
        <f>VLOOKUP(Table1[[#This Row],[Job_Status]],$V$2:$W$4,2,FALSE)</f>
        <v>Defect</v>
      </c>
      <c r="N207" s="7">
        <f>VLOOKUP(Table1[[#This Row],[Job_Status]],$V$2:$X$4,3,FALSE)</f>
        <v>100</v>
      </c>
    </row>
    <row r="208" spans="1:14" x14ac:dyDescent="0.3">
      <c r="A208" t="s">
        <v>22</v>
      </c>
      <c r="B208" t="s">
        <v>15</v>
      </c>
      <c r="C208" s="5">
        <v>2.5</v>
      </c>
      <c r="D208" s="7">
        <v>89</v>
      </c>
      <c r="E208" s="6">
        <v>3.08</v>
      </c>
      <c r="F208">
        <v>92</v>
      </c>
      <c r="G208" s="3">
        <v>45004.756944444445</v>
      </c>
      <c r="H208" s="3">
        <v>45004.818749999999</v>
      </c>
      <c r="I208" s="3">
        <v>45004.772916666669</v>
      </c>
      <c r="J208" s="3">
        <v>45004.834722222222</v>
      </c>
      <c r="K208" t="s">
        <v>19</v>
      </c>
      <c r="L208" t="s">
        <v>20</v>
      </c>
      <c r="M208" t="str">
        <f>VLOOKUP(Table1[[#This Row],[Job_Status]],$V$2:$W$4,2,FALSE)</f>
        <v>Good</v>
      </c>
      <c r="N208" s="7">
        <f>VLOOKUP(Table1[[#This Row],[Job_Status]],$V$2:$X$4,3,FALSE)</f>
        <v>0</v>
      </c>
    </row>
    <row r="209" spans="1:14" x14ac:dyDescent="0.3">
      <c r="A209" t="s">
        <v>34</v>
      </c>
      <c r="B209" t="s">
        <v>32</v>
      </c>
      <c r="C209" s="5">
        <v>3.41</v>
      </c>
      <c r="D209" s="7">
        <v>21</v>
      </c>
      <c r="E209" s="6">
        <v>3.53</v>
      </c>
      <c r="F209">
        <v>82</v>
      </c>
      <c r="G209" s="3">
        <v>45004.763888888891</v>
      </c>
      <c r="H209" s="3">
        <v>45004.77847222222</v>
      </c>
      <c r="I209" s="3">
        <v>45004.761805555558</v>
      </c>
      <c r="J209" s="3">
        <v>45004.776388888888</v>
      </c>
      <c r="K209" t="s">
        <v>16</v>
      </c>
      <c r="L209" t="s">
        <v>20</v>
      </c>
      <c r="M209" t="str">
        <f>VLOOKUP(Table1[[#This Row],[Job_Status]],$V$2:$W$4,2,FALSE)</f>
        <v>Good</v>
      </c>
      <c r="N209" s="7">
        <f>VLOOKUP(Table1[[#This Row],[Job_Status]],$V$2:$X$4,3,FALSE)</f>
        <v>0</v>
      </c>
    </row>
    <row r="210" spans="1:14" x14ac:dyDescent="0.3">
      <c r="A210" t="s">
        <v>14</v>
      </c>
      <c r="B210" t="s">
        <v>15</v>
      </c>
      <c r="C210" s="5">
        <v>3.27</v>
      </c>
      <c r="D210" s="7">
        <v>20</v>
      </c>
      <c r="E210" s="6">
        <v>5.0599999999999996</v>
      </c>
      <c r="F210">
        <v>85</v>
      </c>
      <c r="G210" s="3">
        <v>45004.770833333336</v>
      </c>
      <c r="H210" s="3">
        <v>45004.784722222219</v>
      </c>
      <c r="I210" s="3">
        <v>45004.770833333336</v>
      </c>
      <c r="J210" s="3">
        <v>45004.784722222219</v>
      </c>
      <c r="K210" t="s">
        <v>16</v>
      </c>
      <c r="L210" t="s">
        <v>28</v>
      </c>
      <c r="M210" t="str">
        <f>VLOOKUP(Table1[[#This Row],[Job_Status]],$V$2:$W$4,2,FALSE)</f>
        <v>Good</v>
      </c>
      <c r="N210" s="7">
        <f>VLOOKUP(Table1[[#This Row],[Job_Status]],$V$2:$X$4,3,FALSE)</f>
        <v>0</v>
      </c>
    </row>
    <row r="211" spans="1:14" x14ac:dyDescent="0.3">
      <c r="A211" t="s">
        <v>14</v>
      </c>
      <c r="B211" t="s">
        <v>15</v>
      </c>
      <c r="C211" s="5">
        <v>2.34</v>
      </c>
      <c r="D211" s="7">
        <v>106</v>
      </c>
      <c r="E211" s="6">
        <v>11.95</v>
      </c>
      <c r="F211">
        <v>83</v>
      </c>
      <c r="G211" s="3">
        <v>45004.777777777781</v>
      </c>
      <c r="H211" s="3">
        <v>45004.851388888892</v>
      </c>
      <c r="I211" s="3">
        <v>45004.788194444445</v>
      </c>
      <c r="J211" s="3">
        <v>45004.861805555556</v>
      </c>
      <c r="K211" t="s">
        <v>19</v>
      </c>
      <c r="L211" t="s">
        <v>20</v>
      </c>
      <c r="M211" t="str">
        <f>VLOOKUP(Table1[[#This Row],[Job_Status]],$V$2:$W$4,2,FALSE)</f>
        <v>Good</v>
      </c>
      <c r="N211" s="7">
        <f>VLOOKUP(Table1[[#This Row],[Job_Status]],$V$2:$X$4,3,FALSE)</f>
        <v>0</v>
      </c>
    </row>
    <row r="212" spans="1:14" x14ac:dyDescent="0.3">
      <c r="A212" t="s">
        <v>22</v>
      </c>
      <c r="B212" t="s">
        <v>36</v>
      </c>
      <c r="C212" s="5">
        <v>1.1000000000000001</v>
      </c>
      <c r="D212" s="7">
        <v>76</v>
      </c>
      <c r="E212" s="6">
        <v>10.49</v>
      </c>
      <c r="F212">
        <v>80</v>
      </c>
      <c r="G212" s="3">
        <v>45004.784722222219</v>
      </c>
      <c r="H212" s="3">
        <v>45004.837500000001</v>
      </c>
      <c r="I212" s="3">
        <v>45004.785416666666</v>
      </c>
      <c r="J212" s="3">
        <v>45004.838194444441</v>
      </c>
      <c r="K212" t="s">
        <v>16</v>
      </c>
      <c r="L212" t="s">
        <v>17</v>
      </c>
      <c r="M212" t="str">
        <f>VLOOKUP(Table1[[#This Row],[Job_Status]],$V$2:$W$4,2,FALSE)</f>
        <v>Good</v>
      </c>
      <c r="N212" s="7">
        <f>VLOOKUP(Table1[[#This Row],[Job_Status]],$V$2:$X$4,3,FALSE)</f>
        <v>0</v>
      </c>
    </row>
    <row r="213" spans="1:14" x14ac:dyDescent="0.3">
      <c r="A213" t="s">
        <v>40</v>
      </c>
      <c r="B213" t="s">
        <v>32</v>
      </c>
      <c r="C213" s="5">
        <v>1.66</v>
      </c>
      <c r="D213" s="7">
        <v>25</v>
      </c>
      <c r="E213" s="6">
        <v>8.39</v>
      </c>
      <c r="F213">
        <v>80</v>
      </c>
      <c r="G213" s="3">
        <v>45004.791666666664</v>
      </c>
      <c r="H213" s="3">
        <v>45004.809027777781</v>
      </c>
      <c r="I213" s="3">
        <v>45004.790972222225</v>
      </c>
      <c r="J213" s="3">
        <v>45004.808333333334</v>
      </c>
      <c r="K213" t="s">
        <v>16</v>
      </c>
      <c r="L213" t="s">
        <v>20</v>
      </c>
      <c r="M213" t="str">
        <f>VLOOKUP(Table1[[#This Row],[Job_Status]],$V$2:$W$4,2,FALSE)</f>
        <v>Good</v>
      </c>
      <c r="N213" s="7">
        <f>VLOOKUP(Table1[[#This Row],[Job_Status]],$V$2:$X$4,3,FALSE)</f>
        <v>0</v>
      </c>
    </row>
    <row r="214" spans="1:14" x14ac:dyDescent="0.3">
      <c r="A214" t="s">
        <v>14</v>
      </c>
      <c r="B214" t="s">
        <v>32</v>
      </c>
      <c r="C214" s="5">
        <v>1.45</v>
      </c>
      <c r="D214" s="7">
        <v>96</v>
      </c>
      <c r="E214" s="6">
        <v>4.2699999999999996</v>
      </c>
      <c r="F214">
        <v>98</v>
      </c>
      <c r="G214" s="3">
        <v>45004.798611111109</v>
      </c>
      <c r="H214" s="3">
        <v>45004.865277777775</v>
      </c>
      <c r="I214" s="3">
        <v>45004.800694444442</v>
      </c>
      <c r="J214" s="3">
        <v>45004.867361111108</v>
      </c>
      <c r="K214" t="s">
        <v>16</v>
      </c>
      <c r="L214" t="s">
        <v>28</v>
      </c>
      <c r="M214" t="str">
        <f>VLOOKUP(Table1[[#This Row],[Job_Status]],$V$2:$W$4,2,FALSE)</f>
        <v>Good</v>
      </c>
      <c r="N214" s="7">
        <f>VLOOKUP(Table1[[#This Row],[Job_Status]],$V$2:$X$4,3,FALSE)</f>
        <v>0</v>
      </c>
    </row>
    <row r="215" spans="1:14" x14ac:dyDescent="0.3">
      <c r="A215" t="s">
        <v>40</v>
      </c>
      <c r="B215" t="s">
        <v>15</v>
      </c>
      <c r="C215" s="5">
        <v>1.04</v>
      </c>
      <c r="D215" s="7">
        <v>53</v>
      </c>
      <c r="E215" s="6">
        <v>4.49</v>
      </c>
      <c r="F215">
        <v>84</v>
      </c>
      <c r="G215" s="3">
        <v>45004.805555555555</v>
      </c>
      <c r="H215" s="3">
        <v>45004.842361111114</v>
      </c>
      <c r="K215" t="s">
        <v>24</v>
      </c>
      <c r="L215" t="s">
        <v>20</v>
      </c>
      <c r="M215" t="str">
        <f>VLOOKUP(Table1[[#This Row],[Job_Status]],$V$2:$W$4,2,FALSE)</f>
        <v>Defect</v>
      </c>
      <c r="N215" s="7">
        <f>VLOOKUP(Table1[[#This Row],[Job_Status]],$V$2:$X$4,3,FALSE)</f>
        <v>100</v>
      </c>
    </row>
    <row r="216" spans="1:14" x14ac:dyDescent="0.3">
      <c r="A216" t="s">
        <v>22</v>
      </c>
      <c r="B216" t="s">
        <v>15</v>
      </c>
      <c r="C216" s="5">
        <v>2.39</v>
      </c>
      <c r="D216" s="7">
        <v>36</v>
      </c>
      <c r="E216" s="6">
        <v>4.59</v>
      </c>
      <c r="F216">
        <v>85</v>
      </c>
      <c r="G216" s="3">
        <v>45004.8125</v>
      </c>
      <c r="H216" s="3">
        <v>45004.837500000001</v>
      </c>
      <c r="I216" s="3">
        <v>45004.810416666667</v>
      </c>
      <c r="J216" s="3">
        <v>45004.835416666669</v>
      </c>
      <c r="K216" t="s">
        <v>16</v>
      </c>
      <c r="L216" t="s">
        <v>20</v>
      </c>
      <c r="M216" t="str">
        <f>VLOOKUP(Table1[[#This Row],[Job_Status]],$V$2:$W$4,2,FALSE)</f>
        <v>Good</v>
      </c>
      <c r="N216" s="7">
        <f>VLOOKUP(Table1[[#This Row],[Job_Status]],$V$2:$X$4,3,FALSE)</f>
        <v>0</v>
      </c>
    </row>
    <row r="217" spans="1:14" x14ac:dyDescent="0.3">
      <c r="A217" t="s">
        <v>30</v>
      </c>
      <c r="B217" t="s">
        <v>32</v>
      </c>
      <c r="C217" s="5">
        <v>4.79</v>
      </c>
      <c r="D217" s="7">
        <v>43</v>
      </c>
      <c r="E217" s="6">
        <v>6.1</v>
      </c>
      <c r="F217">
        <v>91</v>
      </c>
      <c r="G217" s="3">
        <v>45004.819444444445</v>
      </c>
      <c r="H217" s="3">
        <v>45004.849305555559</v>
      </c>
      <c r="I217" s="3">
        <v>45004.822222222225</v>
      </c>
      <c r="J217" s="3">
        <v>45004.852083333331</v>
      </c>
      <c r="K217" t="s">
        <v>16</v>
      </c>
      <c r="L217" t="s">
        <v>28</v>
      </c>
      <c r="M217" t="str">
        <f>VLOOKUP(Table1[[#This Row],[Job_Status]],$V$2:$W$4,2,FALSE)</f>
        <v>Good</v>
      </c>
      <c r="N217" s="7">
        <f>VLOOKUP(Table1[[#This Row],[Job_Status]],$V$2:$X$4,3,FALSE)</f>
        <v>0</v>
      </c>
    </row>
    <row r="218" spans="1:14" x14ac:dyDescent="0.3">
      <c r="A218" t="s">
        <v>14</v>
      </c>
      <c r="B218" t="s">
        <v>27</v>
      </c>
      <c r="C218" s="5">
        <v>3.51</v>
      </c>
      <c r="D218" s="7">
        <v>42</v>
      </c>
      <c r="E218" s="6">
        <v>10.46</v>
      </c>
      <c r="F218">
        <v>95</v>
      </c>
      <c r="G218" s="3">
        <v>45004.826388888891</v>
      </c>
      <c r="H218" s="3">
        <v>45004.855555555558</v>
      </c>
      <c r="I218" s="3">
        <v>45004.826388888891</v>
      </c>
      <c r="J218" s="3">
        <v>45004.855555555558</v>
      </c>
      <c r="K218" t="s">
        <v>16</v>
      </c>
      <c r="L218" t="s">
        <v>17</v>
      </c>
      <c r="M218" t="str">
        <f>VLOOKUP(Table1[[#This Row],[Job_Status]],$V$2:$W$4,2,FALSE)</f>
        <v>Good</v>
      </c>
      <c r="N218" s="7">
        <f>VLOOKUP(Table1[[#This Row],[Job_Status]],$V$2:$X$4,3,FALSE)</f>
        <v>0</v>
      </c>
    </row>
    <row r="219" spans="1:14" x14ac:dyDescent="0.3">
      <c r="A219" t="s">
        <v>30</v>
      </c>
      <c r="B219" t="s">
        <v>15</v>
      </c>
      <c r="C219" s="5">
        <v>3.35</v>
      </c>
      <c r="D219" s="7">
        <v>109</v>
      </c>
      <c r="E219" s="6">
        <v>4.75</v>
      </c>
      <c r="F219">
        <v>95</v>
      </c>
      <c r="G219" s="3">
        <v>45004.833333333336</v>
      </c>
      <c r="H219" s="3">
        <v>45004.90902777778</v>
      </c>
      <c r="I219" s="3">
        <v>45004.830555555556</v>
      </c>
      <c r="J219" s="3">
        <v>45004.90625</v>
      </c>
      <c r="K219" t="s">
        <v>16</v>
      </c>
      <c r="L219" t="s">
        <v>20</v>
      </c>
      <c r="M219" t="str">
        <f>VLOOKUP(Table1[[#This Row],[Job_Status]],$V$2:$W$4,2,FALSE)</f>
        <v>Good</v>
      </c>
      <c r="N219" s="7">
        <f>VLOOKUP(Table1[[#This Row],[Job_Status]],$V$2:$X$4,3,FALSE)</f>
        <v>0</v>
      </c>
    </row>
    <row r="220" spans="1:14" x14ac:dyDescent="0.3">
      <c r="A220" t="s">
        <v>34</v>
      </c>
      <c r="B220" t="s">
        <v>23</v>
      </c>
      <c r="C220" s="5">
        <v>2.58</v>
      </c>
      <c r="D220" s="7">
        <v>71</v>
      </c>
      <c r="E220" s="6">
        <v>10.74</v>
      </c>
      <c r="F220">
        <v>84</v>
      </c>
      <c r="G220" s="3">
        <v>45004.840277777781</v>
      </c>
      <c r="H220" s="3">
        <v>45004.88958333333</v>
      </c>
      <c r="I220" s="3">
        <v>45004.853472222225</v>
      </c>
      <c r="J220" s="3">
        <v>45004.902777777781</v>
      </c>
      <c r="K220" t="s">
        <v>19</v>
      </c>
      <c r="L220" t="s">
        <v>20</v>
      </c>
      <c r="M220" t="str">
        <f>VLOOKUP(Table1[[#This Row],[Job_Status]],$V$2:$W$4,2,FALSE)</f>
        <v>Good</v>
      </c>
      <c r="N220" s="7">
        <f>VLOOKUP(Table1[[#This Row],[Job_Status]],$V$2:$X$4,3,FALSE)</f>
        <v>0</v>
      </c>
    </row>
    <row r="221" spans="1:14" x14ac:dyDescent="0.3">
      <c r="A221" t="s">
        <v>34</v>
      </c>
      <c r="B221" t="s">
        <v>23</v>
      </c>
      <c r="C221" s="5">
        <v>1.46</v>
      </c>
      <c r="D221" s="7">
        <v>107</v>
      </c>
      <c r="E221" s="6">
        <v>11.19</v>
      </c>
      <c r="F221">
        <v>97</v>
      </c>
      <c r="G221" s="3">
        <v>45004.847222222219</v>
      </c>
      <c r="H221" s="3">
        <v>45004.921527777777</v>
      </c>
      <c r="I221" s="3">
        <v>45004.84652777778</v>
      </c>
      <c r="J221" s="3">
        <v>45004.92083333333</v>
      </c>
      <c r="K221" t="s">
        <v>16</v>
      </c>
      <c r="L221" t="s">
        <v>20</v>
      </c>
      <c r="M221" t="str">
        <f>VLOOKUP(Table1[[#This Row],[Job_Status]],$V$2:$W$4,2,FALSE)</f>
        <v>Good</v>
      </c>
      <c r="N221" s="7">
        <f>VLOOKUP(Table1[[#This Row],[Job_Status]],$V$2:$X$4,3,FALSE)</f>
        <v>0</v>
      </c>
    </row>
    <row r="222" spans="1:14" x14ac:dyDescent="0.3">
      <c r="A222" t="s">
        <v>34</v>
      </c>
      <c r="B222" t="s">
        <v>32</v>
      </c>
      <c r="C222" s="5">
        <v>1.62</v>
      </c>
      <c r="D222" s="7">
        <v>70</v>
      </c>
      <c r="E222" s="6">
        <v>4.22</v>
      </c>
      <c r="F222">
        <v>81</v>
      </c>
      <c r="G222" s="3">
        <v>45004.854166666664</v>
      </c>
      <c r="H222" s="3">
        <v>45004.902777777781</v>
      </c>
      <c r="I222" s="3">
        <v>45004.852083333331</v>
      </c>
      <c r="J222" s="3">
        <v>45004.900694444441</v>
      </c>
      <c r="K222" t="s">
        <v>16</v>
      </c>
      <c r="L222" t="s">
        <v>20</v>
      </c>
      <c r="M222" t="str">
        <f>VLOOKUP(Table1[[#This Row],[Job_Status]],$V$2:$W$4,2,FALSE)</f>
        <v>Good</v>
      </c>
      <c r="N222" s="7">
        <f>VLOOKUP(Table1[[#This Row],[Job_Status]],$V$2:$X$4,3,FALSE)</f>
        <v>0</v>
      </c>
    </row>
    <row r="223" spans="1:14" x14ac:dyDescent="0.3">
      <c r="A223" t="s">
        <v>30</v>
      </c>
      <c r="B223" t="s">
        <v>36</v>
      </c>
      <c r="C223" s="5">
        <v>1.66</v>
      </c>
      <c r="D223" s="7">
        <v>95</v>
      </c>
      <c r="E223" s="6">
        <v>10.49</v>
      </c>
      <c r="F223">
        <v>81</v>
      </c>
      <c r="G223" s="3">
        <v>45004.861111111109</v>
      </c>
      <c r="H223" s="3">
        <v>45004.927083333336</v>
      </c>
      <c r="I223" s="3">
        <v>45004.87777777778</v>
      </c>
      <c r="J223" s="3">
        <v>45004.943749999999</v>
      </c>
      <c r="K223" t="s">
        <v>19</v>
      </c>
      <c r="L223" t="s">
        <v>20</v>
      </c>
      <c r="M223" t="str">
        <f>VLOOKUP(Table1[[#This Row],[Job_Status]],$V$2:$W$4,2,FALSE)</f>
        <v>Good</v>
      </c>
      <c r="N223" s="7">
        <f>VLOOKUP(Table1[[#This Row],[Job_Status]],$V$2:$X$4,3,FALSE)</f>
        <v>0</v>
      </c>
    </row>
    <row r="224" spans="1:14" x14ac:dyDescent="0.3">
      <c r="A224" t="s">
        <v>40</v>
      </c>
      <c r="B224" t="s">
        <v>27</v>
      </c>
      <c r="C224" s="5">
        <v>1.27</v>
      </c>
      <c r="D224" s="7">
        <v>119</v>
      </c>
      <c r="E224" s="6">
        <v>3.14</v>
      </c>
      <c r="F224">
        <v>89</v>
      </c>
      <c r="G224" s="3">
        <v>45004.868055555555</v>
      </c>
      <c r="H224" s="3">
        <v>45004.950694444444</v>
      </c>
      <c r="K224" t="s">
        <v>24</v>
      </c>
      <c r="L224" t="s">
        <v>20</v>
      </c>
      <c r="M224" t="str">
        <f>VLOOKUP(Table1[[#This Row],[Job_Status]],$V$2:$W$4,2,FALSE)</f>
        <v>Defect</v>
      </c>
      <c r="N224" s="7">
        <f>VLOOKUP(Table1[[#This Row],[Job_Status]],$V$2:$X$4,3,FALSE)</f>
        <v>100</v>
      </c>
    </row>
    <row r="225" spans="1:14" x14ac:dyDescent="0.3">
      <c r="A225" t="s">
        <v>14</v>
      </c>
      <c r="B225" t="s">
        <v>23</v>
      </c>
      <c r="C225" s="5">
        <v>2.39</v>
      </c>
      <c r="D225" s="7">
        <v>58</v>
      </c>
      <c r="E225" s="6">
        <v>10.74</v>
      </c>
      <c r="F225">
        <v>92</v>
      </c>
      <c r="G225" s="3">
        <v>45004.875</v>
      </c>
      <c r="H225" s="3">
        <v>45004.915277777778</v>
      </c>
      <c r="K225" t="s">
        <v>24</v>
      </c>
      <c r="L225" t="s">
        <v>20</v>
      </c>
      <c r="M225" t="str">
        <f>VLOOKUP(Table1[[#This Row],[Job_Status]],$V$2:$W$4,2,FALSE)</f>
        <v>Defect</v>
      </c>
      <c r="N225" s="7">
        <f>VLOOKUP(Table1[[#This Row],[Job_Status]],$V$2:$X$4,3,FALSE)</f>
        <v>100</v>
      </c>
    </row>
    <row r="226" spans="1:14" x14ac:dyDescent="0.3">
      <c r="A226" t="s">
        <v>34</v>
      </c>
      <c r="B226" t="s">
        <v>36</v>
      </c>
      <c r="C226" s="5">
        <v>3.61</v>
      </c>
      <c r="D226" s="7">
        <v>85</v>
      </c>
      <c r="E226" s="6">
        <v>9.6300000000000008</v>
      </c>
      <c r="F226">
        <v>99</v>
      </c>
      <c r="G226" s="3">
        <v>45004.881944444445</v>
      </c>
      <c r="H226" s="3">
        <v>45004.940972222219</v>
      </c>
      <c r="I226" s="3">
        <v>45004.9</v>
      </c>
      <c r="J226" s="3">
        <v>45004.959027777775</v>
      </c>
      <c r="K226" t="s">
        <v>19</v>
      </c>
      <c r="L226" t="s">
        <v>20</v>
      </c>
      <c r="M226" t="str">
        <f>VLOOKUP(Table1[[#This Row],[Job_Status]],$V$2:$W$4,2,FALSE)</f>
        <v>Good</v>
      </c>
      <c r="N226" s="7">
        <f>VLOOKUP(Table1[[#This Row],[Job_Status]],$V$2:$X$4,3,FALSE)</f>
        <v>0</v>
      </c>
    </row>
    <row r="227" spans="1:14" x14ac:dyDescent="0.3">
      <c r="A227" t="s">
        <v>40</v>
      </c>
      <c r="B227" t="s">
        <v>32</v>
      </c>
      <c r="C227" s="5">
        <v>4.5199999999999996</v>
      </c>
      <c r="D227" s="7">
        <v>22</v>
      </c>
      <c r="E227" s="6">
        <v>13.02</v>
      </c>
      <c r="F227">
        <v>80</v>
      </c>
      <c r="G227" s="3">
        <v>45004.888888888891</v>
      </c>
      <c r="H227" s="3">
        <v>45004.904166666667</v>
      </c>
      <c r="I227" s="3">
        <v>45004.888888888891</v>
      </c>
      <c r="J227" s="3">
        <v>45004.904166666667</v>
      </c>
      <c r="K227" t="s">
        <v>16</v>
      </c>
      <c r="L227" t="s">
        <v>17</v>
      </c>
      <c r="M227" t="str">
        <f>VLOOKUP(Table1[[#This Row],[Job_Status]],$V$2:$W$4,2,FALSE)</f>
        <v>Good</v>
      </c>
      <c r="N227" s="7">
        <f>VLOOKUP(Table1[[#This Row],[Job_Status]],$V$2:$X$4,3,FALSE)</f>
        <v>0</v>
      </c>
    </row>
    <row r="228" spans="1:14" x14ac:dyDescent="0.3">
      <c r="A228" t="s">
        <v>22</v>
      </c>
      <c r="B228" t="s">
        <v>15</v>
      </c>
      <c r="C228" s="5">
        <v>3.11</v>
      </c>
      <c r="D228" s="7">
        <v>105</v>
      </c>
      <c r="E228" s="6">
        <v>7.9</v>
      </c>
      <c r="F228">
        <v>88</v>
      </c>
      <c r="G228" s="3">
        <v>45004.895833333336</v>
      </c>
      <c r="H228" s="3">
        <v>45004.96875</v>
      </c>
      <c r="I228" s="3">
        <v>45004.893750000003</v>
      </c>
      <c r="J228" s="3">
        <v>45004.966666666667</v>
      </c>
      <c r="K228" t="s">
        <v>16</v>
      </c>
      <c r="L228" t="s">
        <v>20</v>
      </c>
      <c r="M228" t="str">
        <f>VLOOKUP(Table1[[#This Row],[Job_Status]],$V$2:$W$4,2,FALSE)</f>
        <v>Good</v>
      </c>
      <c r="N228" s="7">
        <f>VLOOKUP(Table1[[#This Row],[Job_Status]],$V$2:$X$4,3,FALSE)</f>
        <v>0</v>
      </c>
    </row>
    <row r="229" spans="1:14" x14ac:dyDescent="0.3">
      <c r="A229" t="s">
        <v>34</v>
      </c>
      <c r="B229" t="s">
        <v>36</v>
      </c>
      <c r="C229" s="5">
        <v>3.25</v>
      </c>
      <c r="D229" s="7">
        <v>109</v>
      </c>
      <c r="E229" s="6">
        <v>6.97</v>
      </c>
      <c r="F229">
        <v>81</v>
      </c>
      <c r="G229" s="3">
        <v>45004.902777777781</v>
      </c>
      <c r="H229" s="3">
        <v>45004.978472222225</v>
      </c>
      <c r="I229" s="3">
        <v>45004.911805555559</v>
      </c>
      <c r="J229" s="3">
        <v>45004.987500000003</v>
      </c>
      <c r="K229" t="s">
        <v>19</v>
      </c>
      <c r="L229" t="s">
        <v>20</v>
      </c>
      <c r="M229" t="str">
        <f>VLOOKUP(Table1[[#This Row],[Job_Status]],$V$2:$W$4,2,FALSE)</f>
        <v>Good</v>
      </c>
      <c r="N229" s="7">
        <f>VLOOKUP(Table1[[#This Row],[Job_Status]],$V$2:$X$4,3,FALSE)</f>
        <v>0</v>
      </c>
    </row>
    <row r="230" spans="1:14" x14ac:dyDescent="0.3">
      <c r="A230" t="s">
        <v>30</v>
      </c>
      <c r="B230" t="s">
        <v>27</v>
      </c>
      <c r="C230" s="5">
        <v>4.66</v>
      </c>
      <c r="D230" s="7">
        <v>77</v>
      </c>
      <c r="E230" s="6">
        <v>8.4700000000000006</v>
      </c>
      <c r="F230">
        <v>82</v>
      </c>
      <c r="G230" s="3">
        <v>45004.909722222219</v>
      </c>
      <c r="H230" s="3">
        <v>45004.963194444441</v>
      </c>
      <c r="I230" s="3">
        <v>45004.907638888886</v>
      </c>
      <c r="J230" s="3">
        <v>45004.961111111108</v>
      </c>
      <c r="K230" t="s">
        <v>16</v>
      </c>
      <c r="L230" t="s">
        <v>20</v>
      </c>
      <c r="M230" t="str">
        <f>VLOOKUP(Table1[[#This Row],[Job_Status]],$V$2:$W$4,2,FALSE)</f>
        <v>Good</v>
      </c>
      <c r="N230" s="7">
        <f>VLOOKUP(Table1[[#This Row],[Job_Status]],$V$2:$X$4,3,FALSE)</f>
        <v>0</v>
      </c>
    </row>
    <row r="231" spans="1:14" x14ac:dyDescent="0.3">
      <c r="A231" t="s">
        <v>14</v>
      </c>
      <c r="B231" t="s">
        <v>32</v>
      </c>
      <c r="C231" s="5">
        <v>4.49</v>
      </c>
      <c r="D231" s="7">
        <v>59</v>
      </c>
      <c r="E231" s="6">
        <v>13.77</v>
      </c>
      <c r="F231">
        <v>83</v>
      </c>
      <c r="G231" s="3">
        <v>45004.916666666664</v>
      </c>
      <c r="H231" s="3">
        <v>45004.957638888889</v>
      </c>
      <c r="I231" s="3">
        <v>45004.916666666664</v>
      </c>
      <c r="J231" s="3">
        <v>45004.957638888889</v>
      </c>
      <c r="K231" t="s">
        <v>16</v>
      </c>
      <c r="L231" t="s">
        <v>17</v>
      </c>
      <c r="M231" t="str">
        <f>VLOOKUP(Table1[[#This Row],[Job_Status]],$V$2:$W$4,2,FALSE)</f>
        <v>Good</v>
      </c>
      <c r="N231" s="7">
        <f>VLOOKUP(Table1[[#This Row],[Job_Status]],$V$2:$X$4,3,FALSE)</f>
        <v>0</v>
      </c>
    </row>
    <row r="232" spans="1:14" x14ac:dyDescent="0.3">
      <c r="A232" t="s">
        <v>14</v>
      </c>
      <c r="B232" t="s">
        <v>32</v>
      </c>
      <c r="C232" s="5">
        <v>2.36</v>
      </c>
      <c r="D232" s="7">
        <v>65</v>
      </c>
      <c r="E232" s="6">
        <v>11.13</v>
      </c>
      <c r="F232">
        <v>88</v>
      </c>
      <c r="G232" s="3">
        <v>45004.923611111109</v>
      </c>
      <c r="H232" s="3">
        <v>45004.96875</v>
      </c>
      <c r="I232" s="3">
        <v>45004.925694444442</v>
      </c>
      <c r="J232" s="3">
        <v>45004.970833333333</v>
      </c>
      <c r="K232" t="s">
        <v>16</v>
      </c>
      <c r="L232" t="s">
        <v>17</v>
      </c>
      <c r="M232" t="str">
        <f>VLOOKUP(Table1[[#This Row],[Job_Status]],$V$2:$W$4,2,FALSE)</f>
        <v>Good</v>
      </c>
      <c r="N232" s="7">
        <f>VLOOKUP(Table1[[#This Row],[Job_Status]],$V$2:$X$4,3,FALSE)</f>
        <v>0</v>
      </c>
    </row>
    <row r="233" spans="1:14" x14ac:dyDescent="0.3">
      <c r="A233" t="s">
        <v>30</v>
      </c>
      <c r="B233" t="s">
        <v>23</v>
      </c>
      <c r="C233" s="5">
        <v>3.44</v>
      </c>
      <c r="D233" s="7">
        <v>36</v>
      </c>
      <c r="E233" s="6">
        <v>14.64</v>
      </c>
      <c r="F233">
        <v>81</v>
      </c>
      <c r="G233" s="3">
        <v>45004.930555555555</v>
      </c>
      <c r="H233" s="3">
        <v>45004.955555555556</v>
      </c>
      <c r="K233" t="s">
        <v>24</v>
      </c>
      <c r="L233" t="s">
        <v>20</v>
      </c>
      <c r="M233" t="str">
        <f>VLOOKUP(Table1[[#This Row],[Job_Status]],$V$2:$W$4,2,FALSE)</f>
        <v>Defect</v>
      </c>
      <c r="N233" s="7">
        <f>VLOOKUP(Table1[[#This Row],[Job_Status]],$V$2:$X$4,3,FALSE)</f>
        <v>100</v>
      </c>
    </row>
    <row r="234" spans="1:14" x14ac:dyDescent="0.3">
      <c r="A234" t="s">
        <v>14</v>
      </c>
      <c r="B234" t="s">
        <v>15</v>
      </c>
      <c r="C234" s="5">
        <v>3.62</v>
      </c>
      <c r="D234" s="7">
        <v>106</v>
      </c>
      <c r="E234" s="6">
        <v>11.48</v>
      </c>
      <c r="F234">
        <v>98</v>
      </c>
      <c r="G234" s="3">
        <v>45004.9375</v>
      </c>
      <c r="H234" s="3">
        <v>45005.011111111111</v>
      </c>
      <c r="I234" s="3">
        <v>45004.935416666667</v>
      </c>
      <c r="J234" s="3">
        <v>45005.009027777778</v>
      </c>
      <c r="K234" t="s">
        <v>16</v>
      </c>
      <c r="L234" t="s">
        <v>20</v>
      </c>
      <c r="M234" t="str">
        <f>VLOOKUP(Table1[[#This Row],[Job_Status]],$V$2:$W$4,2,FALSE)</f>
        <v>Good</v>
      </c>
      <c r="N234" s="7">
        <f>VLOOKUP(Table1[[#This Row],[Job_Status]],$V$2:$X$4,3,FALSE)</f>
        <v>0</v>
      </c>
    </row>
    <row r="235" spans="1:14" x14ac:dyDescent="0.3">
      <c r="A235" t="s">
        <v>22</v>
      </c>
      <c r="B235" t="s">
        <v>32</v>
      </c>
      <c r="C235" s="5">
        <v>3.03</v>
      </c>
      <c r="D235" s="7">
        <v>88</v>
      </c>
      <c r="E235" s="6">
        <v>2.35</v>
      </c>
      <c r="F235">
        <v>81</v>
      </c>
      <c r="G235" s="3">
        <v>45004.944444444445</v>
      </c>
      <c r="H235" s="3">
        <v>45005.005555555559</v>
      </c>
      <c r="I235" s="3">
        <v>45004.943055555559</v>
      </c>
      <c r="J235" s="3">
        <v>45005.004166666666</v>
      </c>
      <c r="K235" t="s">
        <v>16</v>
      </c>
      <c r="L235" t="s">
        <v>20</v>
      </c>
      <c r="M235" t="str">
        <f>VLOOKUP(Table1[[#This Row],[Job_Status]],$V$2:$W$4,2,FALSE)</f>
        <v>Good</v>
      </c>
      <c r="N235" s="7">
        <f>VLOOKUP(Table1[[#This Row],[Job_Status]],$V$2:$X$4,3,FALSE)</f>
        <v>0</v>
      </c>
    </row>
    <row r="236" spans="1:14" x14ac:dyDescent="0.3">
      <c r="A236" t="s">
        <v>14</v>
      </c>
      <c r="B236" t="s">
        <v>15</v>
      </c>
      <c r="C236" s="5">
        <v>4.3099999999999996</v>
      </c>
      <c r="D236" s="7">
        <v>111</v>
      </c>
      <c r="E236" s="6">
        <v>9.9499999999999993</v>
      </c>
      <c r="F236">
        <v>98</v>
      </c>
      <c r="G236" s="3">
        <v>45004.951388888891</v>
      </c>
      <c r="H236" s="3">
        <v>45005.02847222222</v>
      </c>
      <c r="I236" s="3">
        <v>45004.95208333333</v>
      </c>
      <c r="J236" s="3">
        <v>45005.029166666667</v>
      </c>
      <c r="K236" t="s">
        <v>16</v>
      </c>
      <c r="L236" t="s">
        <v>17</v>
      </c>
      <c r="M236" t="str">
        <f>VLOOKUP(Table1[[#This Row],[Job_Status]],$V$2:$W$4,2,FALSE)</f>
        <v>Good</v>
      </c>
      <c r="N236" s="7">
        <f>VLOOKUP(Table1[[#This Row],[Job_Status]],$V$2:$X$4,3,FALSE)</f>
        <v>0</v>
      </c>
    </row>
    <row r="237" spans="1:14" x14ac:dyDescent="0.3">
      <c r="A237" t="s">
        <v>40</v>
      </c>
      <c r="B237" t="s">
        <v>27</v>
      </c>
      <c r="C237" s="5">
        <v>4.37</v>
      </c>
      <c r="D237" s="7">
        <v>56</v>
      </c>
      <c r="E237" s="6">
        <v>6.94</v>
      </c>
      <c r="F237">
        <v>89</v>
      </c>
      <c r="G237" s="3">
        <v>45004.958333333336</v>
      </c>
      <c r="H237" s="3">
        <v>45004.99722222222</v>
      </c>
      <c r="I237" s="3">
        <v>45004.956250000003</v>
      </c>
      <c r="J237" s="3">
        <v>45004.995138888888</v>
      </c>
      <c r="K237" t="s">
        <v>16</v>
      </c>
      <c r="L237" t="s">
        <v>20</v>
      </c>
      <c r="M237" t="str">
        <f>VLOOKUP(Table1[[#This Row],[Job_Status]],$V$2:$W$4,2,FALSE)</f>
        <v>Good</v>
      </c>
      <c r="N237" s="7">
        <f>VLOOKUP(Table1[[#This Row],[Job_Status]],$V$2:$X$4,3,FALSE)</f>
        <v>0</v>
      </c>
    </row>
    <row r="238" spans="1:14" x14ac:dyDescent="0.3">
      <c r="A238" t="s">
        <v>30</v>
      </c>
      <c r="B238" t="s">
        <v>27</v>
      </c>
      <c r="C238" s="5">
        <v>4.49</v>
      </c>
      <c r="D238" s="7">
        <v>26</v>
      </c>
      <c r="E238" s="6">
        <v>7.84</v>
      </c>
      <c r="F238">
        <v>97</v>
      </c>
      <c r="G238" s="3">
        <v>45004.965277777781</v>
      </c>
      <c r="H238" s="3">
        <v>45004.98333333333</v>
      </c>
      <c r="I238" s="3">
        <v>45004.965277777781</v>
      </c>
      <c r="J238" s="3">
        <v>45004.98333333333</v>
      </c>
      <c r="K238" t="s">
        <v>16</v>
      </c>
      <c r="L238" t="s">
        <v>28</v>
      </c>
      <c r="M238" t="str">
        <f>VLOOKUP(Table1[[#This Row],[Job_Status]],$V$2:$W$4,2,FALSE)</f>
        <v>Good</v>
      </c>
      <c r="N238" s="7">
        <f>VLOOKUP(Table1[[#This Row],[Job_Status]],$V$2:$X$4,3,FALSE)</f>
        <v>0</v>
      </c>
    </row>
    <row r="239" spans="1:14" x14ac:dyDescent="0.3">
      <c r="A239" t="s">
        <v>14</v>
      </c>
      <c r="B239" t="s">
        <v>15</v>
      </c>
      <c r="C239" s="5">
        <v>3.53</v>
      </c>
      <c r="D239" s="7">
        <v>83</v>
      </c>
      <c r="E239" s="6">
        <v>6.17</v>
      </c>
      <c r="F239">
        <v>83</v>
      </c>
      <c r="G239" s="3">
        <v>45004.972222222219</v>
      </c>
      <c r="H239" s="3">
        <v>45005.029861111114</v>
      </c>
      <c r="I239" s="3">
        <v>45004.974305555559</v>
      </c>
      <c r="J239" s="3">
        <v>45005.031944444447</v>
      </c>
      <c r="K239" t="s">
        <v>16</v>
      </c>
      <c r="L239" t="s">
        <v>28</v>
      </c>
      <c r="M239" t="str">
        <f>VLOOKUP(Table1[[#This Row],[Job_Status]],$V$2:$W$4,2,FALSE)</f>
        <v>Good</v>
      </c>
      <c r="N239" s="7">
        <f>VLOOKUP(Table1[[#This Row],[Job_Status]],$V$2:$X$4,3,FALSE)</f>
        <v>0</v>
      </c>
    </row>
    <row r="240" spans="1:14" x14ac:dyDescent="0.3">
      <c r="A240" t="s">
        <v>34</v>
      </c>
      <c r="B240" t="s">
        <v>23</v>
      </c>
      <c r="C240" s="5">
        <v>4.0999999999999996</v>
      </c>
      <c r="D240" s="7">
        <v>95</v>
      </c>
      <c r="E240" s="6">
        <v>7.18</v>
      </c>
      <c r="F240">
        <v>89</v>
      </c>
      <c r="G240" s="3">
        <v>45004.979166666664</v>
      </c>
      <c r="H240" s="3">
        <v>45005.045138888891</v>
      </c>
      <c r="I240" s="3">
        <v>45004.977777777778</v>
      </c>
      <c r="J240" s="3">
        <v>45005.043749999997</v>
      </c>
      <c r="K240" t="s">
        <v>16</v>
      </c>
      <c r="L240" t="s">
        <v>20</v>
      </c>
      <c r="M240" t="str">
        <f>VLOOKUP(Table1[[#This Row],[Job_Status]],$V$2:$W$4,2,FALSE)</f>
        <v>Good</v>
      </c>
      <c r="N240" s="7">
        <f>VLOOKUP(Table1[[#This Row],[Job_Status]],$V$2:$X$4,3,FALSE)</f>
        <v>0</v>
      </c>
    </row>
    <row r="241" spans="1:14" x14ac:dyDescent="0.3">
      <c r="A241" t="s">
        <v>40</v>
      </c>
      <c r="B241" t="s">
        <v>27</v>
      </c>
      <c r="C241" s="5">
        <v>4.42</v>
      </c>
      <c r="D241" s="7">
        <v>89</v>
      </c>
      <c r="E241" s="6">
        <v>2.79</v>
      </c>
      <c r="F241">
        <v>93</v>
      </c>
      <c r="G241" s="3">
        <v>45004.986111111109</v>
      </c>
      <c r="H241" s="3">
        <v>45005.04791666667</v>
      </c>
      <c r="K241" t="s">
        <v>24</v>
      </c>
      <c r="L241" t="s">
        <v>20</v>
      </c>
      <c r="M241" t="str">
        <f>VLOOKUP(Table1[[#This Row],[Job_Status]],$V$2:$W$4,2,FALSE)</f>
        <v>Defect</v>
      </c>
      <c r="N241" s="7">
        <f>VLOOKUP(Table1[[#This Row],[Job_Status]],$V$2:$X$4,3,FALSE)</f>
        <v>100</v>
      </c>
    </row>
    <row r="242" spans="1:14" x14ac:dyDescent="0.3">
      <c r="A242" t="s">
        <v>30</v>
      </c>
      <c r="B242" t="s">
        <v>15</v>
      </c>
      <c r="C242" s="5">
        <v>3.88</v>
      </c>
      <c r="D242" s="7">
        <v>22</v>
      </c>
      <c r="E242" s="6">
        <v>9.51</v>
      </c>
      <c r="F242">
        <v>92</v>
      </c>
      <c r="G242" s="3">
        <v>45004.993055555555</v>
      </c>
      <c r="H242" s="3">
        <v>45005.008333333331</v>
      </c>
      <c r="K242" t="s">
        <v>24</v>
      </c>
      <c r="L242" t="s">
        <v>20</v>
      </c>
      <c r="M242" t="str">
        <f>VLOOKUP(Table1[[#This Row],[Job_Status]],$V$2:$W$4,2,FALSE)</f>
        <v>Defect</v>
      </c>
      <c r="N242" s="7">
        <f>VLOOKUP(Table1[[#This Row],[Job_Status]],$V$2:$X$4,3,FALSE)</f>
        <v>100</v>
      </c>
    </row>
    <row r="243" spans="1:14" x14ac:dyDescent="0.3">
      <c r="A243" t="s">
        <v>14</v>
      </c>
      <c r="B243" t="s">
        <v>32</v>
      </c>
      <c r="C243" s="5">
        <v>2.65</v>
      </c>
      <c r="D243" s="7">
        <v>95</v>
      </c>
      <c r="E243" s="6">
        <v>9.52</v>
      </c>
      <c r="F243">
        <v>91</v>
      </c>
      <c r="G243" s="3">
        <v>45005</v>
      </c>
      <c r="H243" s="3">
        <v>45005.065972222219</v>
      </c>
      <c r="I243" s="3">
        <v>45005.000694444447</v>
      </c>
      <c r="J243" s="3">
        <v>45005.066666666666</v>
      </c>
      <c r="K243" t="s">
        <v>16</v>
      </c>
      <c r="L243" t="s">
        <v>17</v>
      </c>
      <c r="M243" t="str">
        <f>VLOOKUP(Table1[[#This Row],[Job_Status]],$V$2:$W$4,2,FALSE)</f>
        <v>Good</v>
      </c>
      <c r="N243" s="7">
        <f>VLOOKUP(Table1[[#This Row],[Job_Status]],$V$2:$X$4,3,FALSE)</f>
        <v>0</v>
      </c>
    </row>
    <row r="244" spans="1:14" x14ac:dyDescent="0.3">
      <c r="A244" t="s">
        <v>34</v>
      </c>
      <c r="B244" t="s">
        <v>27</v>
      </c>
      <c r="C244" s="5">
        <v>4.51</v>
      </c>
      <c r="D244" s="7">
        <v>102</v>
      </c>
      <c r="E244" s="6">
        <v>10.33</v>
      </c>
      <c r="F244">
        <v>97</v>
      </c>
      <c r="G244" s="3">
        <v>45005.006944444445</v>
      </c>
      <c r="H244" s="3">
        <v>45005.077777777777</v>
      </c>
      <c r="I244" s="3">
        <v>45005.003472222219</v>
      </c>
      <c r="J244" s="3">
        <v>45005.074305555558</v>
      </c>
      <c r="K244" t="s">
        <v>16</v>
      </c>
      <c r="L244" t="s">
        <v>20</v>
      </c>
      <c r="M244" t="str">
        <f>VLOOKUP(Table1[[#This Row],[Job_Status]],$V$2:$W$4,2,FALSE)</f>
        <v>Good</v>
      </c>
      <c r="N244" s="7">
        <f>VLOOKUP(Table1[[#This Row],[Job_Status]],$V$2:$X$4,3,FALSE)</f>
        <v>0</v>
      </c>
    </row>
    <row r="245" spans="1:14" x14ac:dyDescent="0.3">
      <c r="A245" t="s">
        <v>30</v>
      </c>
      <c r="B245" t="s">
        <v>27</v>
      </c>
      <c r="C245" s="5">
        <v>2.34</v>
      </c>
      <c r="D245" s="7">
        <v>56</v>
      </c>
      <c r="E245" s="6">
        <v>4.43</v>
      </c>
      <c r="F245">
        <v>85</v>
      </c>
      <c r="G245" s="3">
        <v>45005.013888888891</v>
      </c>
      <c r="H245" s="3">
        <v>45005.052777777775</v>
      </c>
      <c r="I245" s="3">
        <v>45005.015277777777</v>
      </c>
      <c r="J245" s="3">
        <v>45005.054166666669</v>
      </c>
      <c r="K245" t="s">
        <v>16</v>
      </c>
      <c r="L245" t="s">
        <v>28</v>
      </c>
      <c r="M245" t="str">
        <f>VLOOKUP(Table1[[#This Row],[Job_Status]],$V$2:$W$4,2,FALSE)</f>
        <v>Good</v>
      </c>
      <c r="N245" s="7">
        <f>VLOOKUP(Table1[[#This Row],[Job_Status]],$V$2:$X$4,3,FALSE)</f>
        <v>0</v>
      </c>
    </row>
    <row r="246" spans="1:14" x14ac:dyDescent="0.3">
      <c r="A246" t="s">
        <v>40</v>
      </c>
      <c r="B246" t="s">
        <v>15</v>
      </c>
      <c r="C246" s="5">
        <v>3.75</v>
      </c>
      <c r="D246" s="7">
        <v>42</v>
      </c>
      <c r="E246" s="6">
        <v>10.91</v>
      </c>
      <c r="F246">
        <v>91</v>
      </c>
      <c r="G246" s="3">
        <v>45005.020833333336</v>
      </c>
      <c r="H246" s="3">
        <v>45005.05</v>
      </c>
      <c r="I246" s="3">
        <v>45005.034722222219</v>
      </c>
      <c r="J246" s="3">
        <v>45005.063888888886</v>
      </c>
      <c r="K246" t="s">
        <v>19</v>
      </c>
      <c r="L246" t="s">
        <v>20</v>
      </c>
      <c r="M246" t="str">
        <f>VLOOKUP(Table1[[#This Row],[Job_Status]],$V$2:$W$4,2,FALSE)</f>
        <v>Good</v>
      </c>
      <c r="N246" s="7">
        <f>VLOOKUP(Table1[[#This Row],[Job_Status]],$V$2:$X$4,3,FALSE)</f>
        <v>0</v>
      </c>
    </row>
    <row r="247" spans="1:14" x14ac:dyDescent="0.3">
      <c r="A247" t="s">
        <v>30</v>
      </c>
      <c r="B247" t="s">
        <v>23</v>
      </c>
      <c r="C247" s="5">
        <v>2.86</v>
      </c>
      <c r="D247" s="7">
        <v>25</v>
      </c>
      <c r="E247" s="6">
        <v>2.84</v>
      </c>
      <c r="F247">
        <v>82</v>
      </c>
      <c r="G247" s="3">
        <v>45005.027777777781</v>
      </c>
      <c r="H247" s="3">
        <v>45005.045138888891</v>
      </c>
      <c r="I247" s="3">
        <v>45005.029166666667</v>
      </c>
      <c r="J247" s="3">
        <v>45005.046527777777</v>
      </c>
      <c r="K247" t="s">
        <v>16</v>
      </c>
      <c r="L247" t="s">
        <v>28</v>
      </c>
      <c r="M247" t="str">
        <f>VLOOKUP(Table1[[#This Row],[Job_Status]],$V$2:$W$4,2,FALSE)</f>
        <v>Good</v>
      </c>
      <c r="N247" s="7">
        <f>VLOOKUP(Table1[[#This Row],[Job_Status]],$V$2:$X$4,3,FALSE)</f>
        <v>0</v>
      </c>
    </row>
    <row r="248" spans="1:14" x14ac:dyDescent="0.3">
      <c r="A248" t="s">
        <v>14</v>
      </c>
      <c r="B248" t="s">
        <v>32</v>
      </c>
      <c r="C248" s="5">
        <v>1.69</v>
      </c>
      <c r="D248" s="7">
        <v>40</v>
      </c>
      <c r="E248" s="6">
        <v>3.02</v>
      </c>
      <c r="F248">
        <v>90</v>
      </c>
      <c r="G248" s="3">
        <v>45005.034722222219</v>
      </c>
      <c r="H248" s="3">
        <v>45005.0625</v>
      </c>
      <c r="I248" s="3">
        <v>45005.033333333333</v>
      </c>
      <c r="J248" s="3">
        <v>45005.061111111114</v>
      </c>
      <c r="K248" t="s">
        <v>16</v>
      </c>
      <c r="L248" t="s">
        <v>20</v>
      </c>
      <c r="M248" t="str">
        <f>VLOOKUP(Table1[[#This Row],[Job_Status]],$V$2:$W$4,2,FALSE)</f>
        <v>Good</v>
      </c>
      <c r="N248" s="7">
        <f>VLOOKUP(Table1[[#This Row],[Job_Status]],$V$2:$X$4,3,FALSE)</f>
        <v>0</v>
      </c>
    </row>
    <row r="249" spans="1:14" x14ac:dyDescent="0.3">
      <c r="A249" t="s">
        <v>30</v>
      </c>
      <c r="B249" t="s">
        <v>32</v>
      </c>
      <c r="C249" s="5">
        <v>4.8099999999999996</v>
      </c>
      <c r="D249" s="7">
        <v>84</v>
      </c>
      <c r="E249" s="6">
        <v>12.46</v>
      </c>
      <c r="F249">
        <v>95</v>
      </c>
      <c r="G249" s="3">
        <v>45005.041666666664</v>
      </c>
      <c r="H249" s="3">
        <v>45005.1</v>
      </c>
      <c r="I249" s="3">
        <v>45005.038194444445</v>
      </c>
      <c r="J249" s="3">
        <v>45005.09652777778</v>
      </c>
      <c r="K249" t="s">
        <v>16</v>
      </c>
      <c r="L249" t="s">
        <v>20</v>
      </c>
      <c r="M249" t="str">
        <f>VLOOKUP(Table1[[#This Row],[Job_Status]],$V$2:$W$4,2,FALSE)</f>
        <v>Good</v>
      </c>
      <c r="N249" s="7">
        <f>VLOOKUP(Table1[[#This Row],[Job_Status]],$V$2:$X$4,3,FALSE)</f>
        <v>0</v>
      </c>
    </row>
    <row r="250" spans="1:14" x14ac:dyDescent="0.3">
      <c r="A250" t="s">
        <v>14</v>
      </c>
      <c r="B250" t="s">
        <v>36</v>
      </c>
      <c r="C250" s="5">
        <v>4.07</v>
      </c>
      <c r="D250" s="7">
        <v>51</v>
      </c>
      <c r="E250" s="6">
        <v>5.84</v>
      </c>
      <c r="F250">
        <v>91</v>
      </c>
      <c r="G250" s="3">
        <v>45005.048611111109</v>
      </c>
      <c r="H250" s="3">
        <v>45005.084027777775</v>
      </c>
      <c r="I250" s="3">
        <v>45005.046527777777</v>
      </c>
      <c r="J250" s="3">
        <v>45005.081944444442</v>
      </c>
      <c r="K250" t="s">
        <v>16</v>
      </c>
      <c r="L250" t="s">
        <v>20</v>
      </c>
      <c r="M250" t="str">
        <f>VLOOKUP(Table1[[#This Row],[Job_Status]],$V$2:$W$4,2,FALSE)</f>
        <v>Good</v>
      </c>
      <c r="N250" s="7">
        <f>VLOOKUP(Table1[[#This Row],[Job_Status]],$V$2:$X$4,3,FALSE)</f>
        <v>0</v>
      </c>
    </row>
    <row r="251" spans="1:14" x14ac:dyDescent="0.3">
      <c r="A251" t="s">
        <v>40</v>
      </c>
      <c r="B251" t="s">
        <v>32</v>
      </c>
      <c r="C251" s="5">
        <v>1.48</v>
      </c>
      <c r="D251" s="7">
        <v>67</v>
      </c>
      <c r="E251" s="6">
        <v>3.71</v>
      </c>
      <c r="F251">
        <v>94</v>
      </c>
      <c r="G251" s="3">
        <v>45005.055555555555</v>
      </c>
      <c r="H251" s="3">
        <v>45005.102083333331</v>
      </c>
      <c r="I251" s="3">
        <v>45005.055555555555</v>
      </c>
      <c r="J251" s="3">
        <v>45005.102083333331</v>
      </c>
      <c r="K251" t="s">
        <v>16</v>
      </c>
      <c r="L251" t="s">
        <v>28</v>
      </c>
      <c r="M251" t="str">
        <f>VLOOKUP(Table1[[#This Row],[Job_Status]],$V$2:$W$4,2,FALSE)</f>
        <v>Good</v>
      </c>
      <c r="N251" s="7">
        <f>VLOOKUP(Table1[[#This Row],[Job_Status]],$V$2:$X$4,3,FALSE)</f>
        <v>0</v>
      </c>
    </row>
    <row r="252" spans="1:14" x14ac:dyDescent="0.3">
      <c r="A252" t="s">
        <v>30</v>
      </c>
      <c r="B252" t="s">
        <v>32</v>
      </c>
      <c r="C252" s="5">
        <v>1.32</v>
      </c>
      <c r="D252" s="7">
        <v>79</v>
      </c>
      <c r="E252" s="6">
        <v>6.4</v>
      </c>
      <c r="F252">
        <v>96</v>
      </c>
      <c r="G252" s="3">
        <v>45005.0625</v>
      </c>
      <c r="H252" s="3">
        <v>45005.117361111108</v>
      </c>
      <c r="I252" s="3">
        <v>45005.05972222222</v>
      </c>
      <c r="J252" s="3">
        <v>45005.114583333336</v>
      </c>
      <c r="K252" t="s">
        <v>16</v>
      </c>
      <c r="L252" t="s">
        <v>20</v>
      </c>
      <c r="M252" t="str">
        <f>VLOOKUP(Table1[[#This Row],[Job_Status]],$V$2:$W$4,2,FALSE)</f>
        <v>Good</v>
      </c>
      <c r="N252" s="7">
        <f>VLOOKUP(Table1[[#This Row],[Job_Status]],$V$2:$X$4,3,FALSE)</f>
        <v>0</v>
      </c>
    </row>
    <row r="253" spans="1:14" x14ac:dyDescent="0.3">
      <c r="A253" t="s">
        <v>14</v>
      </c>
      <c r="B253" t="s">
        <v>32</v>
      </c>
      <c r="C253" s="5">
        <v>1.02</v>
      </c>
      <c r="D253" s="7">
        <v>21</v>
      </c>
      <c r="E253" s="6">
        <v>8.57</v>
      </c>
      <c r="F253">
        <v>89</v>
      </c>
      <c r="G253" s="3">
        <v>45005.069444444445</v>
      </c>
      <c r="H253" s="3">
        <v>45005.084027777775</v>
      </c>
      <c r="I253" s="3">
        <v>45005.067361111112</v>
      </c>
      <c r="J253" s="3">
        <v>45005.081944444442</v>
      </c>
      <c r="K253" t="s">
        <v>16</v>
      </c>
      <c r="L253" t="s">
        <v>20</v>
      </c>
      <c r="M253" t="str">
        <f>VLOOKUP(Table1[[#This Row],[Job_Status]],$V$2:$W$4,2,FALSE)</f>
        <v>Good</v>
      </c>
      <c r="N253" s="7">
        <f>VLOOKUP(Table1[[#This Row],[Job_Status]],$V$2:$X$4,3,FALSE)</f>
        <v>0</v>
      </c>
    </row>
    <row r="254" spans="1:14" x14ac:dyDescent="0.3">
      <c r="A254" t="s">
        <v>34</v>
      </c>
      <c r="B254" t="s">
        <v>32</v>
      </c>
      <c r="C254" s="5">
        <v>4.59</v>
      </c>
      <c r="D254" s="7">
        <v>38</v>
      </c>
      <c r="E254" s="6">
        <v>13.14</v>
      </c>
      <c r="F254">
        <v>96</v>
      </c>
      <c r="G254" s="3">
        <v>45005.076388888891</v>
      </c>
      <c r="H254" s="3">
        <v>45005.102777777778</v>
      </c>
      <c r="I254" s="3">
        <v>45005.073611111111</v>
      </c>
      <c r="J254" s="3">
        <v>45005.1</v>
      </c>
      <c r="K254" t="s">
        <v>16</v>
      </c>
      <c r="L254" t="s">
        <v>20</v>
      </c>
      <c r="M254" t="str">
        <f>VLOOKUP(Table1[[#This Row],[Job_Status]],$V$2:$W$4,2,FALSE)</f>
        <v>Good</v>
      </c>
      <c r="N254" s="7">
        <f>VLOOKUP(Table1[[#This Row],[Job_Status]],$V$2:$X$4,3,FALSE)</f>
        <v>0</v>
      </c>
    </row>
    <row r="255" spans="1:14" x14ac:dyDescent="0.3">
      <c r="A255" t="s">
        <v>14</v>
      </c>
      <c r="B255" t="s">
        <v>32</v>
      </c>
      <c r="C255" s="5">
        <v>4.49</v>
      </c>
      <c r="D255" s="7">
        <v>43</v>
      </c>
      <c r="E255" s="6">
        <v>9.9</v>
      </c>
      <c r="F255">
        <v>87</v>
      </c>
      <c r="G255" s="3">
        <v>45005.083333333336</v>
      </c>
      <c r="H255" s="3">
        <v>45005.113194444442</v>
      </c>
      <c r="I255" s="3">
        <v>45005.084027777775</v>
      </c>
      <c r="J255" s="3">
        <v>45005.113888888889</v>
      </c>
      <c r="K255" t="s">
        <v>16</v>
      </c>
      <c r="L255" t="s">
        <v>17</v>
      </c>
      <c r="M255" t="str">
        <f>VLOOKUP(Table1[[#This Row],[Job_Status]],$V$2:$W$4,2,FALSE)</f>
        <v>Good</v>
      </c>
      <c r="N255" s="7">
        <f>VLOOKUP(Table1[[#This Row],[Job_Status]],$V$2:$X$4,3,FALSE)</f>
        <v>0</v>
      </c>
    </row>
    <row r="256" spans="1:14" x14ac:dyDescent="0.3">
      <c r="A256" t="s">
        <v>34</v>
      </c>
      <c r="B256" t="s">
        <v>32</v>
      </c>
      <c r="C256" s="5">
        <v>1.32</v>
      </c>
      <c r="D256" s="7">
        <v>38</v>
      </c>
      <c r="E256" s="6">
        <v>14.38</v>
      </c>
      <c r="F256">
        <v>92</v>
      </c>
      <c r="G256" s="3">
        <v>45005.090277777781</v>
      </c>
      <c r="H256" s="3">
        <v>45005.116666666669</v>
      </c>
      <c r="I256" s="3">
        <v>45005.109722222223</v>
      </c>
      <c r="J256" s="3">
        <v>45005.136111111111</v>
      </c>
      <c r="K256" t="s">
        <v>19</v>
      </c>
      <c r="L256" t="s">
        <v>20</v>
      </c>
      <c r="M256" t="str">
        <f>VLOOKUP(Table1[[#This Row],[Job_Status]],$V$2:$W$4,2,FALSE)</f>
        <v>Good</v>
      </c>
      <c r="N256" s="7">
        <f>VLOOKUP(Table1[[#This Row],[Job_Status]],$V$2:$X$4,3,FALSE)</f>
        <v>0</v>
      </c>
    </row>
    <row r="257" spans="1:14" x14ac:dyDescent="0.3">
      <c r="A257" t="s">
        <v>14</v>
      </c>
      <c r="B257" t="s">
        <v>15</v>
      </c>
      <c r="C257" s="5">
        <v>1.82</v>
      </c>
      <c r="D257" s="7">
        <v>38</v>
      </c>
      <c r="E257" s="6">
        <v>11.78</v>
      </c>
      <c r="F257">
        <v>83</v>
      </c>
      <c r="G257" s="3">
        <v>45005.097222222219</v>
      </c>
      <c r="H257" s="3">
        <v>45005.123611111114</v>
      </c>
      <c r="I257" s="3">
        <v>45005.095833333333</v>
      </c>
      <c r="J257" s="3">
        <v>45005.12222222222</v>
      </c>
      <c r="K257" t="s">
        <v>16</v>
      </c>
      <c r="L257" t="s">
        <v>20</v>
      </c>
      <c r="M257" t="str">
        <f>VLOOKUP(Table1[[#This Row],[Job_Status]],$V$2:$W$4,2,FALSE)</f>
        <v>Good</v>
      </c>
      <c r="N257" s="7">
        <f>VLOOKUP(Table1[[#This Row],[Job_Status]],$V$2:$X$4,3,FALSE)</f>
        <v>0</v>
      </c>
    </row>
    <row r="258" spans="1:14" x14ac:dyDescent="0.3">
      <c r="A258" t="s">
        <v>14</v>
      </c>
      <c r="B258" t="s">
        <v>15</v>
      </c>
      <c r="C258" s="5">
        <v>1.73</v>
      </c>
      <c r="D258" s="7">
        <v>60</v>
      </c>
      <c r="E258" s="6">
        <v>4.8899999999999997</v>
      </c>
      <c r="F258">
        <v>82</v>
      </c>
      <c r="G258" s="3">
        <v>45005.104166666664</v>
      </c>
      <c r="H258" s="3">
        <v>45005.145833333336</v>
      </c>
      <c r="I258" s="3">
        <v>45005.104861111111</v>
      </c>
      <c r="J258" s="3">
        <v>45005.146527777775</v>
      </c>
      <c r="K258" t="s">
        <v>16</v>
      </c>
      <c r="L258" t="s">
        <v>28</v>
      </c>
      <c r="M258" t="str">
        <f>VLOOKUP(Table1[[#This Row],[Job_Status]],$V$2:$W$4,2,FALSE)</f>
        <v>Good</v>
      </c>
      <c r="N258" s="7">
        <f>VLOOKUP(Table1[[#This Row],[Job_Status]],$V$2:$X$4,3,FALSE)</f>
        <v>0</v>
      </c>
    </row>
    <row r="259" spans="1:14" x14ac:dyDescent="0.3">
      <c r="A259" t="s">
        <v>30</v>
      </c>
      <c r="B259" t="s">
        <v>23</v>
      </c>
      <c r="C259" s="5">
        <v>2.86</v>
      </c>
      <c r="D259" s="7">
        <v>120</v>
      </c>
      <c r="E259" s="6">
        <v>5.09</v>
      </c>
      <c r="F259">
        <v>82</v>
      </c>
      <c r="G259" s="3">
        <v>45005.111111111109</v>
      </c>
      <c r="H259" s="3">
        <v>45005.194444444445</v>
      </c>
      <c r="I259" s="3">
        <v>45005.112500000003</v>
      </c>
      <c r="J259" s="3">
        <v>45005.195833333331</v>
      </c>
      <c r="K259" t="s">
        <v>16</v>
      </c>
      <c r="L259" t="s">
        <v>28</v>
      </c>
      <c r="M259" t="str">
        <f>VLOOKUP(Table1[[#This Row],[Job_Status]],$V$2:$W$4,2,FALSE)</f>
        <v>Good</v>
      </c>
      <c r="N259" s="7">
        <f>VLOOKUP(Table1[[#This Row],[Job_Status]],$V$2:$X$4,3,FALSE)</f>
        <v>0</v>
      </c>
    </row>
    <row r="260" spans="1:14" x14ac:dyDescent="0.3">
      <c r="A260" t="s">
        <v>34</v>
      </c>
      <c r="B260" t="s">
        <v>36</v>
      </c>
      <c r="C260" s="5">
        <v>1.58</v>
      </c>
      <c r="D260" s="7">
        <v>28</v>
      </c>
      <c r="E260" s="6">
        <v>9.23</v>
      </c>
      <c r="F260">
        <v>88</v>
      </c>
      <c r="G260" s="3">
        <v>45005.118055555555</v>
      </c>
      <c r="H260" s="3">
        <v>45005.137499999997</v>
      </c>
      <c r="I260" s="3">
        <v>45005.117361111108</v>
      </c>
      <c r="J260" s="3">
        <v>45005.136805555558</v>
      </c>
      <c r="K260" t="s">
        <v>16</v>
      </c>
      <c r="L260" t="s">
        <v>20</v>
      </c>
      <c r="M260" t="str">
        <f>VLOOKUP(Table1[[#This Row],[Job_Status]],$V$2:$W$4,2,FALSE)</f>
        <v>Good</v>
      </c>
      <c r="N260" s="7">
        <f>VLOOKUP(Table1[[#This Row],[Job_Status]],$V$2:$X$4,3,FALSE)</f>
        <v>0</v>
      </c>
    </row>
    <row r="261" spans="1:14" x14ac:dyDescent="0.3">
      <c r="A261" t="s">
        <v>40</v>
      </c>
      <c r="B261" t="s">
        <v>27</v>
      </c>
      <c r="C261" s="5">
        <v>2.91</v>
      </c>
      <c r="D261" s="7">
        <v>24</v>
      </c>
      <c r="E261" s="6">
        <v>7.41</v>
      </c>
      <c r="F261">
        <v>95</v>
      </c>
      <c r="G261" s="3">
        <v>45005.125</v>
      </c>
      <c r="H261" s="3">
        <v>45005.14166666667</v>
      </c>
      <c r="I261" s="3">
        <v>45005.123611111114</v>
      </c>
      <c r="J261" s="3">
        <v>45005.140277777777</v>
      </c>
      <c r="K261" t="s">
        <v>16</v>
      </c>
      <c r="L261" t="s">
        <v>20</v>
      </c>
      <c r="M261" t="str">
        <f>VLOOKUP(Table1[[#This Row],[Job_Status]],$V$2:$W$4,2,FALSE)</f>
        <v>Good</v>
      </c>
      <c r="N261" s="7">
        <f>VLOOKUP(Table1[[#This Row],[Job_Status]],$V$2:$X$4,3,FALSE)</f>
        <v>0</v>
      </c>
    </row>
    <row r="262" spans="1:14" x14ac:dyDescent="0.3">
      <c r="A262" t="s">
        <v>22</v>
      </c>
      <c r="B262" t="s">
        <v>32</v>
      </c>
      <c r="C262" s="5">
        <v>4.3499999999999996</v>
      </c>
      <c r="D262" s="7">
        <v>47</v>
      </c>
      <c r="E262" s="6">
        <v>4.55</v>
      </c>
      <c r="F262">
        <v>95</v>
      </c>
      <c r="G262" s="3">
        <v>45005.131944444445</v>
      </c>
      <c r="H262" s="3">
        <v>45005.164583333331</v>
      </c>
      <c r="K262" t="s">
        <v>24</v>
      </c>
      <c r="L262" t="s">
        <v>20</v>
      </c>
      <c r="M262" t="str">
        <f>VLOOKUP(Table1[[#This Row],[Job_Status]],$V$2:$W$4,2,FALSE)</f>
        <v>Defect</v>
      </c>
      <c r="N262" s="7">
        <f>VLOOKUP(Table1[[#This Row],[Job_Status]],$V$2:$X$4,3,FALSE)</f>
        <v>100</v>
      </c>
    </row>
    <row r="263" spans="1:14" x14ac:dyDescent="0.3">
      <c r="A263" t="s">
        <v>14</v>
      </c>
      <c r="B263" t="s">
        <v>36</v>
      </c>
      <c r="C263" s="5">
        <v>3.48</v>
      </c>
      <c r="D263" s="7">
        <v>104</v>
      </c>
      <c r="E263" s="6">
        <v>4.72</v>
      </c>
      <c r="F263">
        <v>88</v>
      </c>
      <c r="G263" s="3">
        <v>45005.138888888891</v>
      </c>
      <c r="H263" s="3">
        <v>45005.211111111108</v>
      </c>
      <c r="I263" s="3">
        <v>45005.154166666667</v>
      </c>
      <c r="J263" s="3">
        <v>45005.226388888892</v>
      </c>
      <c r="K263" t="s">
        <v>19</v>
      </c>
      <c r="L263" t="s">
        <v>20</v>
      </c>
      <c r="M263" t="str">
        <f>VLOOKUP(Table1[[#This Row],[Job_Status]],$V$2:$W$4,2,FALSE)</f>
        <v>Good</v>
      </c>
      <c r="N263" s="7">
        <f>VLOOKUP(Table1[[#This Row],[Job_Status]],$V$2:$X$4,3,FALSE)</f>
        <v>0</v>
      </c>
    </row>
    <row r="264" spans="1:14" x14ac:dyDescent="0.3">
      <c r="A264" t="s">
        <v>34</v>
      </c>
      <c r="B264" t="s">
        <v>15</v>
      </c>
      <c r="C264" s="5">
        <v>4.82</v>
      </c>
      <c r="D264" s="7">
        <v>114</v>
      </c>
      <c r="E264" s="6">
        <v>4.24</v>
      </c>
      <c r="F264">
        <v>90</v>
      </c>
      <c r="G264" s="3">
        <v>45005.145833333336</v>
      </c>
      <c r="H264" s="3">
        <v>45005.224999999999</v>
      </c>
      <c r="K264" t="s">
        <v>24</v>
      </c>
      <c r="L264" t="s">
        <v>20</v>
      </c>
      <c r="M264" t="str">
        <f>VLOOKUP(Table1[[#This Row],[Job_Status]],$V$2:$W$4,2,FALSE)</f>
        <v>Defect</v>
      </c>
      <c r="N264" s="7">
        <f>VLOOKUP(Table1[[#This Row],[Job_Status]],$V$2:$X$4,3,FALSE)</f>
        <v>100</v>
      </c>
    </row>
    <row r="265" spans="1:14" x14ac:dyDescent="0.3">
      <c r="A265" t="s">
        <v>22</v>
      </c>
      <c r="B265" t="s">
        <v>27</v>
      </c>
      <c r="C265" s="5">
        <v>3.65</v>
      </c>
      <c r="D265" s="7">
        <v>38</v>
      </c>
      <c r="E265" s="6">
        <v>14.87</v>
      </c>
      <c r="F265">
        <v>80</v>
      </c>
      <c r="G265" s="3">
        <v>45005.152777777781</v>
      </c>
      <c r="H265" s="3">
        <v>45005.179166666669</v>
      </c>
      <c r="I265" s="3">
        <v>45005.154166666667</v>
      </c>
      <c r="J265" s="3">
        <v>45005.180555555555</v>
      </c>
      <c r="K265" t="s">
        <v>16</v>
      </c>
      <c r="L265" t="s">
        <v>17</v>
      </c>
      <c r="M265" t="str">
        <f>VLOOKUP(Table1[[#This Row],[Job_Status]],$V$2:$W$4,2,FALSE)</f>
        <v>Good</v>
      </c>
      <c r="N265" s="7">
        <f>VLOOKUP(Table1[[#This Row],[Job_Status]],$V$2:$X$4,3,FALSE)</f>
        <v>0</v>
      </c>
    </row>
    <row r="266" spans="1:14" x14ac:dyDescent="0.3">
      <c r="A266" t="s">
        <v>22</v>
      </c>
      <c r="B266" t="s">
        <v>15</v>
      </c>
      <c r="C266" s="5">
        <v>2.61</v>
      </c>
      <c r="D266" s="7">
        <v>72</v>
      </c>
      <c r="E266" s="6">
        <v>13.92</v>
      </c>
      <c r="F266">
        <v>86</v>
      </c>
      <c r="G266" s="3">
        <v>45005.159722222219</v>
      </c>
      <c r="H266" s="3">
        <v>45005.209722222222</v>
      </c>
      <c r="I266" s="3">
        <v>45005.177777777775</v>
      </c>
      <c r="J266" s="3">
        <v>45005.227777777778</v>
      </c>
      <c r="K266" t="s">
        <v>19</v>
      </c>
      <c r="L266" t="s">
        <v>20</v>
      </c>
      <c r="M266" t="str">
        <f>VLOOKUP(Table1[[#This Row],[Job_Status]],$V$2:$W$4,2,FALSE)</f>
        <v>Good</v>
      </c>
      <c r="N266" s="7">
        <f>VLOOKUP(Table1[[#This Row],[Job_Status]],$V$2:$X$4,3,FALSE)</f>
        <v>0</v>
      </c>
    </row>
    <row r="267" spans="1:14" x14ac:dyDescent="0.3">
      <c r="A267" t="s">
        <v>22</v>
      </c>
      <c r="B267" t="s">
        <v>32</v>
      </c>
      <c r="C267" s="5">
        <v>2.77</v>
      </c>
      <c r="D267" s="7">
        <v>97</v>
      </c>
      <c r="E267" s="6">
        <v>6.15</v>
      </c>
      <c r="F267">
        <v>82</v>
      </c>
      <c r="G267" s="3">
        <v>45005.166666666664</v>
      </c>
      <c r="H267" s="3">
        <v>45005.234027777777</v>
      </c>
      <c r="I267" s="3">
        <v>45005.165277777778</v>
      </c>
      <c r="J267" s="3">
        <v>45005.232638888891</v>
      </c>
      <c r="K267" t="s">
        <v>16</v>
      </c>
      <c r="L267" t="s">
        <v>20</v>
      </c>
      <c r="M267" t="str">
        <f>VLOOKUP(Table1[[#This Row],[Job_Status]],$V$2:$W$4,2,FALSE)</f>
        <v>Good</v>
      </c>
      <c r="N267" s="7">
        <f>VLOOKUP(Table1[[#This Row],[Job_Status]],$V$2:$X$4,3,FALSE)</f>
        <v>0</v>
      </c>
    </row>
    <row r="268" spans="1:14" x14ac:dyDescent="0.3">
      <c r="A268" t="s">
        <v>34</v>
      </c>
      <c r="B268" t="s">
        <v>32</v>
      </c>
      <c r="C268" s="5">
        <v>2.68</v>
      </c>
      <c r="D268" s="7">
        <v>96</v>
      </c>
      <c r="E268" s="6">
        <v>12.26</v>
      </c>
      <c r="F268">
        <v>96</v>
      </c>
      <c r="G268" s="3">
        <v>45005.173611111109</v>
      </c>
      <c r="H268" s="3">
        <v>45005.240277777775</v>
      </c>
      <c r="I268" s="3">
        <v>45005.182638888888</v>
      </c>
      <c r="J268" s="3">
        <v>45005.249305555553</v>
      </c>
      <c r="K268" t="s">
        <v>19</v>
      </c>
      <c r="L268" t="s">
        <v>20</v>
      </c>
      <c r="M268" t="str">
        <f>VLOOKUP(Table1[[#This Row],[Job_Status]],$V$2:$W$4,2,FALSE)</f>
        <v>Good</v>
      </c>
      <c r="N268" s="7">
        <f>VLOOKUP(Table1[[#This Row],[Job_Status]],$V$2:$X$4,3,FALSE)</f>
        <v>0</v>
      </c>
    </row>
    <row r="269" spans="1:14" x14ac:dyDescent="0.3">
      <c r="A269" t="s">
        <v>30</v>
      </c>
      <c r="B269" t="s">
        <v>36</v>
      </c>
      <c r="C269" s="5">
        <v>4.42</v>
      </c>
      <c r="D269" s="7">
        <v>101</v>
      </c>
      <c r="E269" s="6">
        <v>8.25</v>
      </c>
      <c r="F269">
        <v>80</v>
      </c>
      <c r="G269" s="3">
        <v>45005.180555555555</v>
      </c>
      <c r="H269" s="3">
        <v>45005.250694444447</v>
      </c>
      <c r="I269" s="3">
        <v>45005.179861111108</v>
      </c>
      <c r="J269" s="3">
        <v>45005.25</v>
      </c>
      <c r="K269" t="s">
        <v>16</v>
      </c>
      <c r="L269" t="s">
        <v>20</v>
      </c>
      <c r="M269" t="str">
        <f>VLOOKUP(Table1[[#This Row],[Job_Status]],$V$2:$W$4,2,FALSE)</f>
        <v>Good</v>
      </c>
      <c r="N269" s="7">
        <f>VLOOKUP(Table1[[#This Row],[Job_Status]],$V$2:$X$4,3,FALSE)</f>
        <v>0</v>
      </c>
    </row>
    <row r="270" spans="1:14" x14ac:dyDescent="0.3">
      <c r="A270" t="s">
        <v>22</v>
      </c>
      <c r="B270" t="s">
        <v>27</v>
      </c>
      <c r="C270" s="5">
        <v>4.24</v>
      </c>
      <c r="D270" s="7">
        <v>105</v>
      </c>
      <c r="E270" s="6">
        <v>6.98</v>
      </c>
      <c r="F270">
        <v>93</v>
      </c>
      <c r="G270" s="3">
        <v>45005.1875</v>
      </c>
      <c r="H270" s="3">
        <v>45005.260416666664</v>
      </c>
      <c r="I270" s="3">
        <v>45005.19027777778</v>
      </c>
      <c r="J270" s="3">
        <v>45005.263194444444</v>
      </c>
      <c r="K270" t="s">
        <v>16</v>
      </c>
      <c r="L270" t="s">
        <v>28</v>
      </c>
      <c r="M270" t="str">
        <f>VLOOKUP(Table1[[#This Row],[Job_Status]],$V$2:$W$4,2,FALSE)</f>
        <v>Good</v>
      </c>
      <c r="N270" s="7">
        <f>VLOOKUP(Table1[[#This Row],[Job_Status]],$V$2:$X$4,3,FALSE)</f>
        <v>0</v>
      </c>
    </row>
    <row r="271" spans="1:14" x14ac:dyDescent="0.3">
      <c r="A271" t="s">
        <v>14</v>
      </c>
      <c r="B271" t="s">
        <v>15</v>
      </c>
      <c r="C271" s="5">
        <v>1.49</v>
      </c>
      <c r="D271" s="7">
        <v>25</v>
      </c>
      <c r="E271" s="6">
        <v>4</v>
      </c>
      <c r="F271">
        <v>84</v>
      </c>
      <c r="G271" s="3">
        <v>45005.194444444445</v>
      </c>
      <c r="H271" s="3">
        <v>45005.211805555555</v>
      </c>
      <c r="I271" s="3">
        <v>45005.207638888889</v>
      </c>
      <c r="J271" s="3">
        <v>45005.224999999999</v>
      </c>
      <c r="K271" t="s">
        <v>19</v>
      </c>
      <c r="L271" t="s">
        <v>20</v>
      </c>
      <c r="M271" t="str">
        <f>VLOOKUP(Table1[[#This Row],[Job_Status]],$V$2:$W$4,2,FALSE)</f>
        <v>Good</v>
      </c>
      <c r="N271" s="7">
        <f>VLOOKUP(Table1[[#This Row],[Job_Status]],$V$2:$X$4,3,FALSE)</f>
        <v>0</v>
      </c>
    </row>
    <row r="272" spans="1:14" x14ac:dyDescent="0.3">
      <c r="A272" t="s">
        <v>22</v>
      </c>
      <c r="B272" t="s">
        <v>36</v>
      </c>
      <c r="C272" s="5">
        <v>4.32</v>
      </c>
      <c r="D272" s="7">
        <v>75</v>
      </c>
      <c r="E272" s="6">
        <v>14.44</v>
      </c>
      <c r="F272">
        <v>81</v>
      </c>
      <c r="G272" s="3">
        <v>45005.201388888891</v>
      </c>
      <c r="H272" s="3">
        <v>45005.253472222219</v>
      </c>
      <c r="I272" s="3">
        <v>45005.204861111109</v>
      </c>
      <c r="J272" s="3">
        <v>45005.256944444445</v>
      </c>
      <c r="K272" t="s">
        <v>16</v>
      </c>
      <c r="L272" t="s">
        <v>17</v>
      </c>
      <c r="M272" t="str">
        <f>VLOOKUP(Table1[[#This Row],[Job_Status]],$V$2:$W$4,2,FALSE)</f>
        <v>Good</v>
      </c>
      <c r="N272" s="7">
        <f>VLOOKUP(Table1[[#This Row],[Job_Status]],$V$2:$X$4,3,FALSE)</f>
        <v>0</v>
      </c>
    </row>
    <row r="273" spans="1:14" x14ac:dyDescent="0.3">
      <c r="A273" t="s">
        <v>14</v>
      </c>
      <c r="B273" t="s">
        <v>15</v>
      </c>
      <c r="C273" s="5">
        <v>1.78</v>
      </c>
      <c r="D273" s="7">
        <v>21</v>
      </c>
      <c r="E273" s="6">
        <v>7.47</v>
      </c>
      <c r="F273">
        <v>83</v>
      </c>
      <c r="G273" s="3">
        <v>45005.208333333336</v>
      </c>
      <c r="H273" s="3">
        <v>45005.222916666666</v>
      </c>
      <c r="I273" s="3">
        <v>45005.204861111109</v>
      </c>
      <c r="J273" s="3">
        <v>45005.219444444447</v>
      </c>
      <c r="K273" t="s">
        <v>16</v>
      </c>
      <c r="L273" t="s">
        <v>20</v>
      </c>
      <c r="M273" t="str">
        <f>VLOOKUP(Table1[[#This Row],[Job_Status]],$V$2:$W$4,2,FALSE)</f>
        <v>Good</v>
      </c>
      <c r="N273" s="7">
        <f>VLOOKUP(Table1[[#This Row],[Job_Status]],$V$2:$X$4,3,FALSE)</f>
        <v>0</v>
      </c>
    </row>
    <row r="274" spans="1:14" x14ac:dyDescent="0.3">
      <c r="A274" t="s">
        <v>22</v>
      </c>
      <c r="B274" t="s">
        <v>27</v>
      </c>
      <c r="C274" s="5">
        <v>3.17</v>
      </c>
      <c r="D274" s="7">
        <v>55</v>
      </c>
      <c r="E274" s="6">
        <v>13.68</v>
      </c>
      <c r="F274">
        <v>84</v>
      </c>
      <c r="G274" s="3">
        <v>45005.215277777781</v>
      </c>
      <c r="H274" s="3">
        <v>45005.253472222219</v>
      </c>
      <c r="I274" s="3">
        <v>45005.212500000001</v>
      </c>
      <c r="J274" s="3">
        <v>45005.250694444447</v>
      </c>
      <c r="K274" t="s">
        <v>16</v>
      </c>
      <c r="L274" t="s">
        <v>20</v>
      </c>
      <c r="M274" t="str">
        <f>VLOOKUP(Table1[[#This Row],[Job_Status]],$V$2:$W$4,2,FALSE)</f>
        <v>Good</v>
      </c>
      <c r="N274" s="7">
        <f>VLOOKUP(Table1[[#This Row],[Job_Status]],$V$2:$X$4,3,FALSE)</f>
        <v>0</v>
      </c>
    </row>
    <row r="275" spans="1:14" x14ac:dyDescent="0.3">
      <c r="A275" t="s">
        <v>14</v>
      </c>
      <c r="B275" t="s">
        <v>32</v>
      </c>
      <c r="C275" s="5">
        <v>3.08</v>
      </c>
      <c r="D275" s="7">
        <v>78</v>
      </c>
      <c r="E275" s="6">
        <v>5.42</v>
      </c>
      <c r="F275">
        <v>82</v>
      </c>
      <c r="G275" s="3">
        <v>45005.222222222219</v>
      </c>
      <c r="H275" s="3">
        <v>45005.276388888888</v>
      </c>
      <c r="I275" s="3">
        <v>45005.240277777775</v>
      </c>
      <c r="J275" s="3">
        <v>45005.294444444444</v>
      </c>
      <c r="K275" t="s">
        <v>19</v>
      </c>
      <c r="L275" t="s">
        <v>20</v>
      </c>
      <c r="M275" t="str">
        <f>VLOOKUP(Table1[[#This Row],[Job_Status]],$V$2:$W$4,2,FALSE)</f>
        <v>Good</v>
      </c>
      <c r="N275" s="7">
        <f>VLOOKUP(Table1[[#This Row],[Job_Status]],$V$2:$X$4,3,FALSE)</f>
        <v>0</v>
      </c>
    </row>
    <row r="276" spans="1:14" x14ac:dyDescent="0.3">
      <c r="A276" t="s">
        <v>34</v>
      </c>
      <c r="B276" t="s">
        <v>27</v>
      </c>
      <c r="C276" s="5">
        <v>2.17</v>
      </c>
      <c r="D276" s="7">
        <v>20</v>
      </c>
      <c r="E276" s="6">
        <v>4.29</v>
      </c>
      <c r="F276">
        <v>97</v>
      </c>
      <c r="G276" s="3">
        <v>45005.229166666664</v>
      </c>
      <c r="H276" s="3">
        <v>45005.243055555555</v>
      </c>
      <c r="I276" s="3">
        <v>45005.228472222225</v>
      </c>
      <c r="J276" s="3">
        <v>45005.242361111108</v>
      </c>
      <c r="K276" t="s">
        <v>16</v>
      </c>
      <c r="L276" t="s">
        <v>20</v>
      </c>
      <c r="M276" t="str">
        <f>VLOOKUP(Table1[[#This Row],[Job_Status]],$V$2:$W$4,2,FALSE)</f>
        <v>Good</v>
      </c>
      <c r="N276" s="7">
        <f>VLOOKUP(Table1[[#This Row],[Job_Status]],$V$2:$X$4,3,FALSE)</f>
        <v>0</v>
      </c>
    </row>
    <row r="277" spans="1:14" x14ac:dyDescent="0.3">
      <c r="A277" t="s">
        <v>40</v>
      </c>
      <c r="B277" t="s">
        <v>23</v>
      </c>
      <c r="C277" s="5">
        <v>3.21</v>
      </c>
      <c r="D277" s="7">
        <v>94</v>
      </c>
      <c r="E277" s="6">
        <v>14.67</v>
      </c>
      <c r="F277">
        <v>93</v>
      </c>
      <c r="G277" s="3">
        <v>45005.236111111109</v>
      </c>
      <c r="H277" s="3">
        <v>45005.301388888889</v>
      </c>
      <c r="I277" s="3">
        <v>45005.238888888889</v>
      </c>
      <c r="J277" s="3">
        <v>45005.304166666669</v>
      </c>
      <c r="K277" t="s">
        <v>16</v>
      </c>
      <c r="L277" t="s">
        <v>17</v>
      </c>
      <c r="M277" t="str">
        <f>VLOOKUP(Table1[[#This Row],[Job_Status]],$V$2:$W$4,2,FALSE)</f>
        <v>Good</v>
      </c>
      <c r="N277" s="7">
        <f>VLOOKUP(Table1[[#This Row],[Job_Status]],$V$2:$X$4,3,FALSE)</f>
        <v>0</v>
      </c>
    </row>
    <row r="278" spans="1:14" x14ac:dyDescent="0.3">
      <c r="A278" t="s">
        <v>30</v>
      </c>
      <c r="B278" t="s">
        <v>32</v>
      </c>
      <c r="C278" s="5">
        <v>2.96</v>
      </c>
      <c r="D278" s="7">
        <v>78</v>
      </c>
      <c r="E278" s="6">
        <v>4.2300000000000004</v>
      </c>
      <c r="F278">
        <v>95</v>
      </c>
      <c r="G278" s="3">
        <v>45005.243055555555</v>
      </c>
      <c r="H278" s="3">
        <v>45005.297222222223</v>
      </c>
      <c r="K278" t="s">
        <v>24</v>
      </c>
      <c r="L278" t="s">
        <v>20</v>
      </c>
      <c r="M278" t="str">
        <f>VLOOKUP(Table1[[#This Row],[Job_Status]],$V$2:$W$4,2,FALSE)</f>
        <v>Defect</v>
      </c>
      <c r="N278" s="7">
        <f>VLOOKUP(Table1[[#This Row],[Job_Status]],$V$2:$X$4,3,FALSE)</f>
        <v>100</v>
      </c>
    </row>
    <row r="279" spans="1:14" x14ac:dyDescent="0.3">
      <c r="A279" t="s">
        <v>14</v>
      </c>
      <c r="B279" t="s">
        <v>27</v>
      </c>
      <c r="C279" s="5">
        <v>2</v>
      </c>
      <c r="D279" s="7">
        <v>76</v>
      </c>
      <c r="E279" s="6">
        <v>12.37</v>
      </c>
      <c r="F279">
        <v>88</v>
      </c>
      <c r="G279" s="3">
        <v>45005.25</v>
      </c>
      <c r="H279" s="3">
        <v>45005.302777777775</v>
      </c>
      <c r="I279" s="3">
        <v>45005.251388888886</v>
      </c>
      <c r="J279" s="3">
        <v>45005.304166666669</v>
      </c>
      <c r="K279" t="s">
        <v>16</v>
      </c>
      <c r="L279" t="s">
        <v>17</v>
      </c>
      <c r="M279" t="str">
        <f>VLOOKUP(Table1[[#This Row],[Job_Status]],$V$2:$W$4,2,FALSE)</f>
        <v>Good</v>
      </c>
      <c r="N279" s="7">
        <f>VLOOKUP(Table1[[#This Row],[Job_Status]],$V$2:$X$4,3,FALSE)</f>
        <v>0</v>
      </c>
    </row>
    <row r="280" spans="1:14" x14ac:dyDescent="0.3">
      <c r="A280" t="s">
        <v>40</v>
      </c>
      <c r="B280" t="s">
        <v>23</v>
      </c>
      <c r="C280" s="5">
        <v>2.08</v>
      </c>
      <c r="D280" s="7">
        <v>58</v>
      </c>
      <c r="E280" s="6">
        <v>14.2</v>
      </c>
      <c r="F280">
        <v>91</v>
      </c>
      <c r="G280" s="3">
        <v>45005.256944444445</v>
      </c>
      <c r="H280" s="3">
        <v>45005.297222222223</v>
      </c>
      <c r="I280" s="3">
        <v>45005.256944444445</v>
      </c>
      <c r="J280" s="3">
        <v>45005.297222222223</v>
      </c>
      <c r="K280" t="s">
        <v>16</v>
      </c>
      <c r="L280" t="s">
        <v>17</v>
      </c>
      <c r="M280" t="str">
        <f>VLOOKUP(Table1[[#This Row],[Job_Status]],$V$2:$W$4,2,FALSE)</f>
        <v>Good</v>
      </c>
      <c r="N280" s="7">
        <f>VLOOKUP(Table1[[#This Row],[Job_Status]],$V$2:$X$4,3,FALSE)</f>
        <v>0</v>
      </c>
    </row>
    <row r="281" spans="1:14" x14ac:dyDescent="0.3">
      <c r="A281" t="s">
        <v>22</v>
      </c>
      <c r="B281" t="s">
        <v>32</v>
      </c>
      <c r="C281" s="5">
        <v>2.15</v>
      </c>
      <c r="D281" s="7">
        <v>64</v>
      </c>
      <c r="E281" s="6">
        <v>2.4500000000000002</v>
      </c>
      <c r="F281">
        <v>81</v>
      </c>
      <c r="G281" s="3">
        <v>45005.263888888891</v>
      </c>
      <c r="H281" s="3">
        <v>45005.308333333334</v>
      </c>
      <c r="I281" s="3">
        <v>45005.265277777777</v>
      </c>
      <c r="J281" s="3">
        <v>45005.30972222222</v>
      </c>
      <c r="K281" t="s">
        <v>16</v>
      </c>
      <c r="L281" t="s">
        <v>28</v>
      </c>
      <c r="M281" t="str">
        <f>VLOOKUP(Table1[[#This Row],[Job_Status]],$V$2:$W$4,2,FALSE)</f>
        <v>Good</v>
      </c>
      <c r="N281" s="7">
        <f>VLOOKUP(Table1[[#This Row],[Job_Status]],$V$2:$X$4,3,FALSE)</f>
        <v>0</v>
      </c>
    </row>
    <row r="282" spans="1:14" x14ac:dyDescent="0.3">
      <c r="A282" t="s">
        <v>34</v>
      </c>
      <c r="B282" t="s">
        <v>36</v>
      </c>
      <c r="C282" s="5">
        <v>2.62</v>
      </c>
      <c r="D282" s="7">
        <v>66</v>
      </c>
      <c r="E282" s="6">
        <v>9.66</v>
      </c>
      <c r="F282">
        <v>89</v>
      </c>
      <c r="G282" s="3">
        <v>45005.270833333336</v>
      </c>
      <c r="H282" s="3">
        <v>45005.316666666666</v>
      </c>
      <c r="I282" s="3">
        <v>45005.268750000003</v>
      </c>
      <c r="J282" s="3">
        <v>45005.314583333333</v>
      </c>
      <c r="K282" t="s">
        <v>16</v>
      </c>
      <c r="L282" t="s">
        <v>20</v>
      </c>
      <c r="M282" t="str">
        <f>VLOOKUP(Table1[[#This Row],[Job_Status]],$V$2:$W$4,2,FALSE)</f>
        <v>Good</v>
      </c>
      <c r="N282" s="7">
        <f>VLOOKUP(Table1[[#This Row],[Job_Status]],$V$2:$X$4,3,FALSE)</f>
        <v>0</v>
      </c>
    </row>
    <row r="283" spans="1:14" x14ac:dyDescent="0.3">
      <c r="A283" t="s">
        <v>40</v>
      </c>
      <c r="B283" t="s">
        <v>27</v>
      </c>
      <c r="C283" s="5">
        <v>4.82</v>
      </c>
      <c r="D283" s="7">
        <v>59</v>
      </c>
      <c r="E283" s="6">
        <v>8.66</v>
      </c>
      <c r="F283">
        <v>95</v>
      </c>
      <c r="G283" s="3">
        <v>45005.277777777781</v>
      </c>
      <c r="H283" s="3">
        <v>45005.318749999999</v>
      </c>
      <c r="I283" s="3">
        <v>45005.27847222222</v>
      </c>
      <c r="J283" s="3">
        <v>45005.319444444445</v>
      </c>
      <c r="K283" t="s">
        <v>16</v>
      </c>
      <c r="L283" t="s">
        <v>28</v>
      </c>
      <c r="M283" t="str">
        <f>VLOOKUP(Table1[[#This Row],[Job_Status]],$V$2:$W$4,2,FALSE)</f>
        <v>Good</v>
      </c>
      <c r="N283" s="7">
        <f>VLOOKUP(Table1[[#This Row],[Job_Status]],$V$2:$X$4,3,FALSE)</f>
        <v>0</v>
      </c>
    </row>
    <row r="284" spans="1:14" x14ac:dyDescent="0.3">
      <c r="A284" t="s">
        <v>40</v>
      </c>
      <c r="B284" t="s">
        <v>27</v>
      </c>
      <c r="C284" s="5">
        <v>3.17</v>
      </c>
      <c r="D284" s="7">
        <v>30</v>
      </c>
      <c r="E284" s="6">
        <v>10.210000000000001</v>
      </c>
      <c r="F284">
        <v>88</v>
      </c>
      <c r="G284" s="3">
        <v>45005.284722222219</v>
      </c>
      <c r="H284" s="3">
        <v>45005.305555555555</v>
      </c>
      <c r="I284" s="3">
        <v>45005.286111111112</v>
      </c>
      <c r="J284" s="3">
        <v>45005.306944444441</v>
      </c>
      <c r="K284" t="s">
        <v>16</v>
      </c>
      <c r="L284" t="s">
        <v>17</v>
      </c>
      <c r="M284" t="str">
        <f>VLOOKUP(Table1[[#This Row],[Job_Status]],$V$2:$W$4,2,FALSE)</f>
        <v>Good</v>
      </c>
      <c r="N284" s="7">
        <f>VLOOKUP(Table1[[#This Row],[Job_Status]],$V$2:$X$4,3,FALSE)</f>
        <v>0</v>
      </c>
    </row>
    <row r="285" spans="1:14" x14ac:dyDescent="0.3">
      <c r="A285" t="s">
        <v>14</v>
      </c>
      <c r="B285" t="s">
        <v>23</v>
      </c>
      <c r="C285" s="5">
        <v>1.52</v>
      </c>
      <c r="D285" s="7">
        <v>37</v>
      </c>
      <c r="E285" s="6">
        <v>9.4700000000000006</v>
      </c>
      <c r="F285">
        <v>96</v>
      </c>
      <c r="G285" s="3">
        <v>45005.291666666664</v>
      </c>
      <c r="H285" s="3">
        <v>45005.317361111112</v>
      </c>
      <c r="I285" s="3">
        <v>45005.289583333331</v>
      </c>
      <c r="J285" s="3">
        <v>45005.31527777778</v>
      </c>
      <c r="K285" t="s">
        <v>16</v>
      </c>
      <c r="L285" t="s">
        <v>20</v>
      </c>
      <c r="M285" t="str">
        <f>VLOOKUP(Table1[[#This Row],[Job_Status]],$V$2:$W$4,2,FALSE)</f>
        <v>Good</v>
      </c>
      <c r="N285" s="7">
        <f>VLOOKUP(Table1[[#This Row],[Job_Status]],$V$2:$X$4,3,FALSE)</f>
        <v>0</v>
      </c>
    </row>
    <row r="286" spans="1:14" x14ac:dyDescent="0.3">
      <c r="A286" t="s">
        <v>30</v>
      </c>
      <c r="B286" t="s">
        <v>15</v>
      </c>
      <c r="C286" s="5">
        <v>3.32</v>
      </c>
      <c r="D286" s="7">
        <v>71</v>
      </c>
      <c r="E286" s="6">
        <v>13.8</v>
      </c>
      <c r="F286">
        <v>80</v>
      </c>
      <c r="G286" s="3">
        <v>45005.298611111109</v>
      </c>
      <c r="H286" s="3">
        <v>45005.347916666666</v>
      </c>
      <c r="I286" s="3">
        <v>45005.305555555555</v>
      </c>
      <c r="J286" s="3">
        <v>45005.354861111111</v>
      </c>
      <c r="K286" t="s">
        <v>19</v>
      </c>
      <c r="L286" t="s">
        <v>20</v>
      </c>
      <c r="M286" t="str">
        <f>VLOOKUP(Table1[[#This Row],[Job_Status]],$V$2:$W$4,2,FALSE)</f>
        <v>Good</v>
      </c>
      <c r="N286" s="7">
        <f>VLOOKUP(Table1[[#This Row],[Job_Status]],$V$2:$X$4,3,FALSE)</f>
        <v>0</v>
      </c>
    </row>
    <row r="287" spans="1:14" x14ac:dyDescent="0.3">
      <c r="A287" t="s">
        <v>14</v>
      </c>
      <c r="B287" t="s">
        <v>23</v>
      </c>
      <c r="C287" s="5">
        <v>3.25</v>
      </c>
      <c r="D287" s="7">
        <v>106</v>
      </c>
      <c r="E287" s="6">
        <v>13.31</v>
      </c>
      <c r="F287">
        <v>86</v>
      </c>
      <c r="G287" s="3">
        <v>45005.305555555555</v>
      </c>
      <c r="H287" s="3">
        <v>45005.379166666666</v>
      </c>
      <c r="I287" s="3">
        <v>45005.306944444441</v>
      </c>
      <c r="J287" s="3">
        <v>45005.380555555559</v>
      </c>
      <c r="K287" t="s">
        <v>16</v>
      </c>
      <c r="L287" t="s">
        <v>17</v>
      </c>
      <c r="M287" t="str">
        <f>VLOOKUP(Table1[[#This Row],[Job_Status]],$V$2:$W$4,2,FALSE)</f>
        <v>Good</v>
      </c>
      <c r="N287" s="7">
        <f>VLOOKUP(Table1[[#This Row],[Job_Status]],$V$2:$X$4,3,FALSE)</f>
        <v>0</v>
      </c>
    </row>
    <row r="288" spans="1:14" x14ac:dyDescent="0.3">
      <c r="A288" t="s">
        <v>22</v>
      </c>
      <c r="B288" t="s">
        <v>23</v>
      </c>
      <c r="C288" s="5">
        <v>3.22</v>
      </c>
      <c r="D288" s="7">
        <v>107</v>
      </c>
      <c r="E288" s="6">
        <v>6.69</v>
      </c>
      <c r="F288">
        <v>91</v>
      </c>
      <c r="G288" s="3">
        <v>45005.3125</v>
      </c>
      <c r="H288" s="3">
        <v>45005.386805555558</v>
      </c>
      <c r="I288" s="3">
        <v>45005.313194444447</v>
      </c>
      <c r="J288" s="3">
        <v>45005.387499999997</v>
      </c>
      <c r="K288" t="s">
        <v>16</v>
      </c>
      <c r="L288" t="s">
        <v>28</v>
      </c>
      <c r="M288" t="str">
        <f>VLOOKUP(Table1[[#This Row],[Job_Status]],$V$2:$W$4,2,FALSE)</f>
        <v>Good</v>
      </c>
      <c r="N288" s="7">
        <f>VLOOKUP(Table1[[#This Row],[Job_Status]],$V$2:$X$4,3,FALSE)</f>
        <v>0</v>
      </c>
    </row>
    <row r="289" spans="1:14" x14ac:dyDescent="0.3">
      <c r="A289" t="s">
        <v>30</v>
      </c>
      <c r="B289" t="s">
        <v>27</v>
      </c>
      <c r="C289" s="5">
        <v>3.31</v>
      </c>
      <c r="D289" s="7">
        <v>95</v>
      </c>
      <c r="E289" s="6">
        <v>5.56</v>
      </c>
      <c r="F289">
        <v>85</v>
      </c>
      <c r="G289" s="3">
        <v>45005.319444444445</v>
      </c>
      <c r="H289" s="3">
        <v>45005.385416666664</v>
      </c>
      <c r="I289" s="3">
        <v>45005.322916666664</v>
      </c>
      <c r="J289" s="3">
        <v>45005.388888888891</v>
      </c>
      <c r="K289" t="s">
        <v>16</v>
      </c>
      <c r="L289" t="s">
        <v>28</v>
      </c>
      <c r="M289" t="str">
        <f>VLOOKUP(Table1[[#This Row],[Job_Status]],$V$2:$W$4,2,FALSE)</f>
        <v>Good</v>
      </c>
      <c r="N289" s="7">
        <f>VLOOKUP(Table1[[#This Row],[Job_Status]],$V$2:$X$4,3,FALSE)</f>
        <v>0</v>
      </c>
    </row>
    <row r="290" spans="1:14" x14ac:dyDescent="0.3">
      <c r="A290" t="s">
        <v>30</v>
      </c>
      <c r="B290" t="s">
        <v>23</v>
      </c>
      <c r="C290" s="5">
        <v>2.97</v>
      </c>
      <c r="D290" s="7">
        <v>36</v>
      </c>
      <c r="E290" s="6">
        <v>6.56</v>
      </c>
      <c r="F290">
        <v>82</v>
      </c>
      <c r="G290" s="3">
        <v>45005.326388888891</v>
      </c>
      <c r="H290" s="3">
        <v>45005.351388888892</v>
      </c>
      <c r="I290" s="3">
        <v>45005.329861111109</v>
      </c>
      <c r="J290" s="3">
        <v>45005.354861111111</v>
      </c>
      <c r="K290" t="s">
        <v>16</v>
      </c>
      <c r="L290" t="s">
        <v>28</v>
      </c>
      <c r="M290" t="str">
        <f>VLOOKUP(Table1[[#This Row],[Job_Status]],$V$2:$W$4,2,FALSE)</f>
        <v>Good</v>
      </c>
      <c r="N290" s="7">
        <f>VLOOKUP(Table1[[#This Row],[Job_Status]],$V$2:$X$4,3,FALSE)</f>
        <v>0</v>
      </c>
    </row>
    <row r="291" spans="1:14" x14ac:dyDescent="0.3">
      <c r="A291" t="s">
        <v>30</v>
      </c>
      <c r="B291" t="s">
        <v>15</v>
      </c>
      <c r="C291" s="5">
        <v>1.49</v>
      </c>
      <c r="D291" s="7">
        <v>97</v>
      </c>
      <c r="E291" s="6">
        <v>5.47</v>
      </c>
      <c r="F291">
        <v>81</v>
      </c>
      <c r="G291" s="3">
        <v>45005.333333333336</v>
      </c>
      <c r="H291" s="3">
        <v>45005.400694444441</v>
      </c>
      <c r="I291" s="3">
        <v>45005.331944444442</v>
      </c>
      <c r="J291" s="3">
        <v>45005.399305555555</v>
      </c>
      <c r="K291" t="s">
        <v>16</v>
      </c>
      <c r="L291" t="s">
        <v>20</v>
      </c>
      <c r="M291" t="str">
        <f>VLOOKUP(Table1[[#This Row],[Job_Status]],$V$2:$W$4,2,FALSE)</f>
        <v>Good</v>
      </c>
      <c r="N291" s="7">
        <f>VLOOKUP(Table1[[#This Row],[Job_Status]],$V$2:$X$4,3,FALSE)</f>
        <v>0</v>
      </c>
    </row>
    <row r="292" spans="1:14" x14ac:dyDescent="0.3">
      <c r="A292" t="s">
        <v>34</v>
      </c>
      <c r="B292" t="s">
        <v>15</v>
      </c>
      <c r="C292" s="5">
        <v>3.82</v>
      </c>
      <c r="D292" s="7">
        <v>81</v>
      </c>
      <c r="E292" s="6">
        <v>10.72</v>
      </c>
      <c r="F292">
        <v>99</v>
      </c>
      <c r="G292" s="3">
        <v>45005.340277777781</v>
      </c>
      <c r="H292" s="3">
        <v>45005.396527777775</v>
      </c>
      <c r="I292" s="3">
        <v>45005.341666666667</v>
      </c>
      <c r="J292" s="3">
        <v>45005.397916666669</v>
      </c>
      <c r="K292" t="s">
        <v>16</v>
      </c>
      <c r="L292" t="s">
        <v>17</v>
      </c>
      <c r="M292" t="str">
        <f>VLOOKUP(Table1[[#This Row],[Job_Status]],$V$2:$W$4,2,FALSE)</f>
        <v>Good</v>
      </c>
      <c r="N292" s="7">
        <f>VLOOKUP(Table1[[#This Row],[Job_Status]],$V$2:$X$4,3,FALSE)</f>
        <v>0</v>
      </c>
    </row>
    <row r="293" spans="1:14" x14ac:dyDescent="0.3">
      <c r="A293" t="s">
        <v>40</v>
      </c>
      <c r="B293" t="s">
        <v>32</v>
      </c>
      <c r="C293" s="5">
        <v>5</v>
      </c>
      <c r="D293" s="7">
        <v>26</v>
      </c>
      <c r="E293" s="6">
        <v>12.76</v>
      </c>
      <c r="F293">
        <v>95</v>
      </c>
      <c r="G293" s="3">
        <v>45005.347222222219</v>
      </c>
      <c r="H293" s="3">
        <v>45005.365277777775</v>
      </c>
      <c r="I293" s="3">
        <v>45005.347222222219</v>
      </c>
      <c r="J293" s="3">
        <v>45005.365277777775</v>
      </c>
      <c r="K293" t="s">
        <v>16</v>
      </c>
      <c r="L293" t="s">
        <v>17</v>
      </c>
      <c r="M293" t="str">
        <f>VLOOKUP(Table1[[#This Row],[Job_Status]],$V$2:$W$4,2,FALSE)</f>
        <v>Good</v>
      </c>
      <c r="N293" s="7">
        <f>VLOOKUP(Table1[[#This Row],[Job_Status]],$V$2:$X$4,3,FALSE)</f>
        <v>0</v>
      </c>
    </row>
    <row r="294" spans="1:14" x14ac:dyDescent="0.3">
      <c r="A294" t="s">
        <v>22</v>
      </c>
      <c r="B294" t="s">
        <v>23</v>
      </c>
      <c r="C294" s="5">
        <v>2.41</v>
      </c>
      <c r="D294" s="7">
        <v>93</v>
      </c>
      <c r="E294" s="6">
        <v>9.8000000000000007</v>
      </c>
      <c r="F294">
        <v>91</v>
      </c>
      <c r="G294" s="3">
        <v>45005.354166666664</v>
      </c>
      <c r="H294" s="3">
        <v>45005.418749999997</v>
      </c>
      <c r="I294" s="3">
        <v>45005.356944444444</v>
      </c>
      <c r="J294" s="3">
        <v>45005.421527777777</v>
      </c>
      <c r="K294" t="s">
        <v>16</v>
      </c>
      <c r="L294" t="s">
        <v>17</v>
      </c>
      <c r="M294" t="str">
        <f>VLOOKUP(Table1[[#This Row],[Job_Status]],$V$2:$W$4,2,FALSE)</f>
        <v>Good</v>
      </c>
      <c r="N294" s="7">
        <f>VLOOKUP(Table1[[#This Row],[Job_Status]],$V$2:$X$4,3,FALSE)</f>
        <v>0</v>
      </c>
    </row>
    <row r="295" spans="1:14" x14ac:dyDescent="0.3">
      <c r="A295" t="s">
        <v>22</v>
      </c>
      <c r="B295" t="s">
        <v>36</v>
      </c>
      <c r="C295" s="5">
        <v>1.8</v>
      </c>
      <c r="D295" s="7">
        <v>103</v>
      </c>
      <c r="E295" s="6">
        <v>13.09</v>
      </c>
      <c r="F295">
        <v>82</v>
      </c>
      <c r="G295" s="3">
        <v>45005.361111111109</v>
      </c>
      <c r="H295" s="3">
        <v>45005.432638888888</v>
      </c>
      <c r="I295" s="3">
        <v>45005.35833333333</v>
      </c>
      <c r="J295" s="3">
        <v>45005.429861111108</v>
      </c>
      <c r="K295" t="s">
        <v>16</v>
      </c>
      <c r="L295" t="s">
        <v>20</v>
      </c>
      <c r="M295" t="str">
        <f>VLOOKUP(Table1[[#This Row],[Job_Status]],$V$2:$W$4,2,FALSE)</f>
        <v>Good</v>
      </c>
      <c r="N295" s="7">
        <f>VLOOKUP(Table1[[#This Row],[Job_Status]],$V$2:$X$4,3,FALSE)</f>
        <v>0</v>
      </c>
    </row>
    <row r="296" spans="1:14" x14ac:dyDescent="0.3">
      <c r="A296" t="s">
        <v>40</v>
      </c>
      <c r="B296" t="s">
        <v>36</v>
      </c>
      <c r="C296" s="5">
        <v>4.2699999999999996</v>
      </c>
      <c r="D296" s="7">
        <v>90</v>
      </c>
      <c r="E296" s="6">
        <v>6.74</v>
      </c>
      <c r="F296">
        <v>87</v>
      </c>
      <c r="G296" s="3">
        <v>45005.368055555555</v>
      </c>
      <c r="H296" s="3">
        <v>45005.430555555555</v>
      </c>
      <c r="I296" s="3">
        <v>45005.367361111108</v>
      </c>
      <c r="J296" s="3">
        <v>45005.429861111108</v>
      </c>
      <c r="K296" t="s">
        <v>16</v>
      </c>
      <c r="L296" t="s">
        <v>20</v>
      </c>
      <c r="M296" t="str">
        <f>VLOOKUP(Table1[[#This Row],[Job_Status]],$V$2:$W$4,2,FALSE)</f>
        <v>Good</v>
      </c>
      <c r="N296" s="7">
        <f>VLOOKUP(Table1[[#This Row],[Job_Status]],$V$2:$X$4,3,FALSE)</f>
        <v>0</v>
      </c>
    </row>
    <row r="297" spans="1:14" x14ac:dyDescent="0.3">
      <c r="A297" t="s">
        <v>30</v>
      </c>
      <c r="B297" t="s">
        <v>23</v>
      </c>
      <c r="C297" s="5">
        <v>2.46</v>
      </c>
      <c r="D297" s="7">
        <v>39</v>
      </c>
      <c r="E297" s="6">
        <v>10.97</v>
      </c>
      <c r="F297">
        <v>96</v>
      </c>
      <c r="G297" s="3">
        <v>45005.375</v>
      </c>
      <c r="H297" s="3">
        <v>45005.402083333334</v>
      </c>
      <c r="I297" s="3">
        <v>45005.37777777778</v>
      </c>
      <c r="J297" s="3">
        <v>45005.404861111114</v>
      </c>
      <c r="K297" t="s">
        <v>16</v>
      </c>
      <c r="L297" t="s">
        <v>17</v>
      </c>
      <c r="M297" t="str">
        <f>VLOOKUP(Table1[[#This Row],[Job_Status]],$V$2:$W$4,2,FALSE)</f>
        <v>Good</v>
      </c>
      <c r="N297" s="7">
        <f>VLOOKUP(Table1[[#This Row],[Job_Status]],$V$2:$X$4,3,FALSE)</f>
        <v>0</v>
      </c>
    </row>
    <row r="298" spans="1:14" x14ac:dyDescent="0.3">
      <c r="A298" t="s">
        <v>40</v>
      </c>
      <c r="B298" t="s">
        <v>23</v>
      </c>
      <c r="C298" s="5">
        <v>2.96</v>
      </c>
      <c r="D298" s="7">
        <v>76</v>
      </c>
      <c r="E298" s="6">
        <v>13.25</v>
      </c>
      <c r="F298">
        <v>88</v>
      </c>
      <c r="G298" s="3">
        <v>45005.381944444445</v>
      </c>
      <c r="H298" s="3">
        <v>45005.43472222222</v>
      </c>
      <c r="K298" t="s">
        <v>24</v>
      </c>
      <c r="L298" t="s">
        <v>20</v>
      </c>
      <c r="M298" t="str">
        <f>VLOOKUP(Table1[[#This Row],[Job_Status]],$V$2:$W$4,2,FALSE)</f>
        <v>Defect</v>
      </c>
      <c r="N298" s="7">
        <f>VLOOKUP(Table1[[#This Row],[Job_Status]],$V$2:$X$4,3,FALSE)</f>
        <v>100</v>
      </c>
    </row>
    <row r="299" spans="1:14" x14ac:dyDescent="0.3">
      <c r="A299" t="s">
        <v>14</v>
      </c>
      <c r="B299" t="s">
        <v>15</v>
      </c>
      <c r="C299" s="5">
        <v>2.14</v>
      </c>
      <c r="D299" s="7">
        <v>79</v>
      </c>
      <c r="E299" s="6">
        <v>2.0499999999999998</v>
      </c>
      <c r="F299">
        <v>80</v>
      </c>
      <c r="G299" s="3">
        <v>45005.388888888891</v>
      </c>
      <c r="H299" s="3">
        <v>45005.443749999999</v>
      </c>
      <c r="I299" s="3">
        <v>45005.407638888886</v>
      </c>
      <c r="J299" s="3">
        <v>45005.462500000001</v>
      </c>
      <c r="K299" t="s">
        <v>19</v>
      </c>
      <c r="L299" t="s">
        <v>20</v>
      </c>
      <c r="M299" t="str">
        <f>VLOOKUP(Table1[[#This Row],[Job_Status]],$V$2:$W$4,2,FALSE)</f>
        <v>Good</v>
      </c>
      <c r="N299" s="7">
        <f>VLOOKUP(Table1[[#This Row],[Job_Status]],$V$2:$X$4,3,FALSE)</f>
        <v>0</v>
      </c>
    </row>
    <row r="300" spans="1:14" x14ac:dyDescent="0.3">
      <c r="A300" t="s">
        <v>22</v>
      </c>
      <c r="B300" t="s">
        <v>23</v>
      </c>
      <c r="C300" s="5">
        <v>2.19</v>
      </c>
      <c r="D300" s="7">
        <v>116</v>
      </c>
      <c r="E300" s="6">
        <v>4.79</v>
      </c>
      <c r="F300">
        <v>95</v>
      </c>
      <c r="G300" s="3">
        <v>45005.395833333336</v>
      </c>
      <c r="H300" s="3">
        <v>45005.476388888892</v>
      </c>
      <c r="I300" s="3">
        <v>45005.395138888889</v>
      </c>
      <c r="J300" s="3">
        <v>45005.475694444445</v>
      </c>
      <c r="K300" t="s">
        <v>16</v>
      </c>
      <c r="L300" t="s">
        <v>20</v>
      </c>
      <c r="M300" t="str">
        <f>VLOOKUP(Table1[[#This Row],[Job_Status]],$V$2:$W$4,2,FALSE)</f>
        <v>Good</v>
      </c>
      <c r="N300" s="7">
        <f>VLOOKUP(Table1[[#This Row],[Job_Status]],$V$2:$X$4,3,FALSE)</f>
        <v>0</v>
      </c>
    </row>
    <row r="301" spans="1:14" x14ac:dyDescent="0.3">
      <c r="A301" t="s">
        <v>22</v>
      </c>
      <c r="B301" t="s">
        <v>36</v>
      </c>
      <c r="C301" s="5">
        <v>1.42</v>
      </c>
      <c r="D301" s="7">
        <v>23</v>
      </c>
      <c r="E301" s="6">
        <v>3.92</v>
      </c>
      <c r="F301">
        <v>88</v>
      </c>
      <c r="G301" s="3">
        <v>45005.402777777781</v>
      </c>
      <c r="H301" s="3">
        <v>45005.418749999997</v>
      </c>
      <c r="I301" s="3">
        <v>45005.418055555558</v>
      </c>
      <c r="J301" s="3">
        <v>45005.434027777781</v>
      </c>
      <c r="K301" t="s">
        <v>19</v>
      </c>
      <c r="L301" t="s">
        <v>20</v>
      </c>
      <c r="M301" t="str">
        <f>VLOOKUP(Table1[[#This Row],[Job_Status]],$V$2:$W$4,2,FALSE)</f>
        <v>Good</v>
      </c>
      <c r="N301" s="7">
        <f>VLOOKUP(Table1[[#This Row],[Job_Status]],$V$2:$X$4,3,FALSE)</f>
        <v>0</v>
      </c>
    </row>
    <row r="302" spans="1:14" x14ac:dyDescent="0.3">
      <c r="A302" t="s">
        <v>22</v>
      </c>
      <c r="B302" t="s">
        <v>23</v>
      </c>
      <c r="C302" s="5">
        <v>3.42</v>
      </c>
      <c r="D302" s="7">
        <v>20</v>
      </c>
      <c r="E302" s="6">
        <v>6.24</v>
      </c>
      <c r="F302">
        <v>92</v>
      </c>
      <c r="G302" s="3">
        <v>45005.409722222219</v>
      </c>
      <c r="H302" s="3">
        <v>45005.423611111109</v>
      </c>
      <c r="I302" s="3">
        <v>45005.410416666666</v>
      </c>
      <c r="J302" s="3">
        <v>45005.424305555556</v>
      </c>
      <c r="K302" t="s">
        <v>16</v>
      </c>
      <c r="L302" t="s">
        <v>28</v>
      </c>
      <c r="M302" t="str">
        <f>VLOOKUP(Table1[[#This Row],[Job_Status]],$V$2:$W$4,2,FALSE)</f>
        <v>Good</v>
      </c>
      <c r="N302" s="7">
        <f>VLOOKUP(Table1[[#This Row],[Job_Status]],$V$2:$X$4,3,FALSE)</f>
        <v>0</v>
      </c>
    </row>
    <row r="303" spans="1:14" x14ac:dyDescent="0.3">
      <c r="A303" t="s">
        <v>30</v>
      </c>
      <c r="B303" t="s">
        <v>36</v>
      </c>
      <c r="C303" s="5">
        <v>3.16</v>
      </c>
      <c r="D303" s="7">
        <v>87</v>
      </c>
      <c r="E303" s="6">
        <v>5.09</v>
      </c>
      <c r="F303">
        <v>92</v>
      </c>
      <c r="G303" s="3">
        <v>45005.416666666664</v>
      </c>
      <c r="H303" s="3">
        <v>45005.477083333331</v>
      </c>
      <c r="I303" s="3">
        <v>45005.418749999997</v>
      </c>
      <c r="J303" s="3">
        <v>45005.479166666664</v>
      </c>
      <c r="K303" t="s">
        <v>16</v>
      </c>
      <c r="L303" t="s">
        <v>28</v>
      </c>
      <c r="M303" t="str">
        <f>VLOOKUP(Table1[[#This Row],[Job_Status]],$V$2:$W$4,2,FALSE)</f>
        <v>Good</v>
      </c>
      <c r="N303" s="7">
        <f>VLOOKUP(Table1[[#This Row],[Job_Status]],$V$2:$X$4,3,FALSE)</f>
        <v>0</v>
      </c>
    </row>
    <row r="304" spans="1:14" x14ac:dyDescent="0.3">
      <c r="A304" t="s">
        <v>22</v>
      </c>
      <c r="B304" t="s">
        <v>36</v>
      </c>
      <c r="C304" s="5">
        <v>2.25</v>
      </c>
      <c r="D304" s="7">
        <v>52</v>
      </c>
      <c r="E304" s="6">
        <v>14.65</v>
      </c>
      <c r="F304">
        <v>98</v>
      </c>
      <c r="G304" s="3">
        <v>45005.423611111109</v>
      </c>
      <c r="H304" s="3">
        <v>45005.459722222222</v>
      </c>
      <c r="I304" s="3">
        <v>45005.438888888886</v>
      </c>
      <c r="J304" s="3">
        <v>45005.474999999999</v>
      </c>
      <c r="K304" t="s">
        <v>19</v>
      </c>
      <c r="L304" t="s">
        <v>20</v>
      </c>
      <c r="M304" t="str">
        <f>VLOOKUP(Table1[[#This Row],[Job_Status]],$V$2:$W$4,2,FALSE)</f>
        <v>Good</v>
      </c>
      <c r="N304" s="7">
        <f>VLOOKUP(Table1[[#This Row],[Job_Status]],$V$2:$X$4,3,FALSE)</f>
        <v>0</v>
      </c>
    </row>
    <row r="305" spans="1:14" x14ac:dyDescent="0.3">
      <c r="A305" t="s">
        <v>34</v>
      </c>
      <c r="B305" t="s">
        <v>23</v>
      </c>
      <c r="C305" s="5">
        <v>1.5</v>
      </c>
      <c r="D305" s="7">
        <v>38</v>
      </c>
      <c r="E305" s="6">
        <v>6.46</v>
      </c>
      <c r="F305">
        <v>96</v>
      </c>
      <c r="G305" s="3">
        <v>45005.430555555555</v>
      </c>
      <c r="H305" s="3">
        <v>45005.456944444442</v>
      </c>
      <c r="I305" s="3">
        <v>45005.429166666669</v>
      </c>
      <c r="J305" s="3">
        <v>45005.455555555556</v>
      </c>
      <c r="K305" t="s">
        <v>16</v>
      </c>
      <c r="L305" t="s">
        <v>20</v>
      </c>
      <c r="M305" t="str">
        <f>VLOOKUP(Table1[[#This Row],[Job_Status]],$V$2:$W$4,2,FALSE)</f>
        <v>Good</v>
      </c>
      <c r="N305" s="7">
        <f>VLOOKUP(Table1[[#This Row],[Job_Status]],$V$2:$X$4,3,FALSE)</f>
        <v>0</v>
      </c>
    </row>
    <row r="306" spans="1:14" x14ac:dyDescent="0.3">
      <c r="A306" t="s">
        <v>40</v>
      </c>
      <c r="B306" t="s">
        <v>36</v>
      </c>
      <c r="C306" s="5">
        <v>1.07</v>
      </c>
      <c r="D306" s="7">
        <v>75</v>
      </c>
      <c r="E306" s="6">
        <v>6.02</v>
      </c>
      <c r="F306">
        <v>99</v>
      </c>
      <c r="G306" s="3">
        <v>45005.4375</v>
      </c>
      <c r="H306" s="3">
        <v>45005.489583333336</v>
      </c>
      <c r="I306" s="3">
        <v>45005.434027777781</v>
      </c>
      <c r="J306" s="3">
        <v>45005.486111111109</v>
      </c>
      <c r="K306" t="s">
        <v>16</v>
      </c>
      <c r="L306" t="s">
        <v>20</v>
      </c>
      <c r="M306" t="str">
        <f>VLOOKUP(Table1[[#This Row],[Job_Status]],$V$2:$W$4,2,FALSE)</f>
        <v>Good</v>
      </c>
      <c r="N306" s="7">
        <f>VLOOKUP(Table1[[#This Row],[Job_Status]],$V$2:$X$4,3,FALSE)</f>
        <v>0</v>
      </c>
    </row>
    <row r="307" spans="1:14" x14ac:dyDescent="0.3">
      <c r="A307" t="s">
        <v>34</v>
      </c>
      <c r="B307" t="s">
        <v>23</v>
      </c>
      <c r="C307" s="5">
        <v>4.33</v>
      </c>
      <c r="D307" s="7">
        <v>89</v>
      </c>
      <c r="E307" s="6">
        <v>12.46</v>
      </c>
      <c r="F307">
        <v>81</v>
      </c>
      <c r="G307" s="3">
        <v>45005.444444444445</v>
      </c>
      <c r="H307" s="3">
        <v>45005.506249999999</v>
      </c>
      <c r="I307" s="3">
        <v>45005.444444444445</v>
      </c>
      <c r="J307" s="3">
        <v>45005.506249999999</v>
      </c>
      <c r="K307" t="s">
        <v>16</v>
      </c>
      <c r="L307" t="s">
        <v>17</v>
      </c>
      <c r="M307" t="str">
        <f>VLOOKUP(Table1[[#This Row],[Job_Status]],$V$2:$W$4,2,FALSE)</f>
        <v>Good</v>
      </c>
      <c r="N307" s="7">
        <f>VLOOKUP(Table1[[#This Row],[Job_Status]],$V$2:$X$4,3,FALSE)</f>
        <v>0</v>
      </c>
    </row>
    <row r="308" spans="1:14" x14ac:dyDescent="0.3">
      <c r="A308" t="s">
        <v>40</v>
      </c>
      <c r="B308" t="s">
        <v>27</v>
      </c>
      <c r="C308" s="5">
        <v>2.92</v>
      </c>
      <c r="D308" s="7">
        <v>77</v>
      </c>
      <c r="E308" s="6">
        <v>9.4600000000000009</v>
      </c>
      <c r="F308">
        <v>99</v>
      </c>
      <c r="G308" s="3">
        <v>45005.451388888891</v>
      </c>
      <c r="H308" s="3">
        <v>45005.504861111112</v>
      </c>
      <c r="I308" s="3">
        <v>45005.449305555558</v>
      </c>
      <c r="J308" s="3">
        <v>45005.50277777778</v>
      </c>
      <c r="K308" t="s">
        <v>16</v>
      </c>
      <c r="L308" t="s">
        <v>20</v>
      </c>
      <c r="M308" t="str">
        <f>VLOOKUP(Table1[[#This Row],[Job_Status]],$V$2:$W$4,2,FALSE)</f>
        <v>Good</v>
      </c>
      <c r="N308" s="7">
        <f>VLOOKUP(Table1[[#This Row],[Job_Status]],$V$2:$X$4,3,FALSE)</f>
        <v>0</v>
      </c>
    </row>
    <row r="309" spans="1:14" x14ac:dyDescent="0.3">
      <c r="A309" t="s">
        <v>30</v>
      </c>
      <c r="B309" t="s">
        <v>27</v>
      </c>
      <c r="C309" s="5">
        <v>3.25</v>
      </c>
      <c r="D309" s="7">
        <v>89</v>
      </c>
      <c r="E309" s="6">
        <v>6.97</v>
      </c>
      <c r="F309">
        <v>98</v>
      </c>
      <c r="G309" s="3">
        <v>45005.458333333336</v>
      </c>
      <c r="H309" s="3">
        <v>45005.520138888889</v>
      </c>
      <c r="I309" s="3">
        <v>45005.472916666666</v>
      </c>
      <c r="J309" s="3">
        <v>45005.534722222219</v>
      </c>
      <c r="K309" t="s">
        <v>19</v>
      </c>
      <c r="L309" t="s">
        <v>20</v>
      </c>
      <c r="M309" t="str">
        <f>VLOOKUP(Table1[[#This Row],[Job_Status]],$V$2:$W$4,2,FALSE)</f>
        <v>Good</v>
      </c>
      <c r="N309" s="7">
        <f>VLOOKUP(Table1[[#This Row],[Job_Status]],$V$2:$X$4,3,FALSE)</f>
        <v>0</v>
      </c>
    </row>
    <row r="310" spans="1:14" x14ac:dyDescent="0.3">
      <c r="A310" t="s">
        <v>14</v>
      </c>
      <c r="B310" t="s">
        <v>23</v>
      </c>
      <c r="C310" s="5">
        <v>1.25</v>
      </c>
      <c r="D310" s="7">
        <v>50</v>
      </c>
      <c r="E310" s="6">
        <v>3.41</v>
      </c>
      <c r="F310">
        <v>80</v>
      </c>
      <c r="G310" s="3">
        <v>45005.465277777781</v>
      </c>
      <c r="H310" s="3">
        <v>45005.5</v>
      </c>
      <c r="I310" s="3">
        <v>45005.465277777781</v>
      </c>
      <c r="J310" s="3">
        <v>45005.5</v>
      </c>
      <c r="K310" t="s">
        <v>16</v>
      </c>
      <c r="L310" t="s">
        <v>28</v>
      </c>
      <c r="M310" t="str">
        <f>VLOOKUP(Table1[[#This Row],[Job_Status]],$V$2:$W$4,2,FALSE)</f>
        <v>Good</v>
      </c>
      <c r="N310" s="7">
        <f>VLOOKUP(Table1[[#This Row],[Job_Status]],$V$2:$X$4,3,FALSE)</f>
        <v>0</v>
      </c>
    </row>
    <row r="311" spans="1:14" x14ac:dyDescent="0.3">
      <c r="A311" t="s">
        <v>40</v>
      </c>
      <c r="B311" t="s">
        <v>23</v>
      </c>
      <c r="C311" s="5">
        <v>3.07</v>
      </c>
      <c r="D311" s="7">
        <v>71</v>
      </c>
      <c r="E311" s="6">
        <v>11.53</v>
      </c>
      <c r="F311">
        <v>82</v>
      </c>
      <c r="G311" s="3">
        <v>45005.472222222219</v>
      </c>
      <c r="H311" s="3">
        <v>45005.521527777775</v>
      </c>
      <c r="I311" s="3">
        <v>45005.479861111111</v>
      </c>
      <c r="J311" s="3">
        <v>45005.529166666667</v>
      </c>
      <c r="K311" t="s">
        <v>19</v>
      </c>
      <c r="L311" t="s">
        <v>20</v>
      </c>
      <c r="M311" t="str">
        <f>VLOOKUP(Table1[[#This Row],[Job_Status]],$V$2:$W$4,2,FALSE)</f>
        <v>Good</v>
      </c>
      <c r="N311" s="7">
        <f>VLOOKUP(Table1[[#This Row],[Job_Status]],$V$2:$X$4,3,FALSE)</f>
        <v>0</v>
      </c>
    </row>
    <row r="312" spans="1:14" x14ac:dyDescent="0.3">
      <c r="A312" t="s">
        <v>22</v>
      </c>
      <c r="B312" t="s">
        <v>15</v>
      </c>
      <c r="C312" s="5">
        <v>2.35</v>
      </c>
      <c r="D312" s="7">
        <v>50</v>
      </c>
      <c r="E312" s="6">
        <v>8.24</v>
      </c>
      <c r="F312">
        <v>94</v>
      </c>
      <c r="G312" s="3">
        <v>45005.479166666664</v>
      </c>
      <c r="H312" s="3">
        <v>45005.513888888891</v>
      </c>
      <c r="I312" s="3">
        <v>45005.478472222225</v>
      </c>
      <c r="J312" s="3">
        <v>45005.513194444444</v>
      </c>
      <c r="K312" t="s">
        <v>16</v>
      </c>
      <c r="L312" t="s">
        <v>20</v>
      </c>
      <c r="M312" t="str">
        <f>VLOOKUP(Table1[[#This Row],[Job_Status]],$V$2:$W$4,2,FALSE)</f>
        <v>Good</v>
      </c>
      <c r="N312" s="7">
        <f>VLOOKUP(Table1[[#This Row],[Job_Status]],$V$2:$X$4,3,FALSE)</f>
        <v>0</v>
      </c>
    </row>
    <row r="313" spans="1:14" x14ac:dyDescent="0.3">
      <c r="A313" t="s">
        <v>30</v>
      </c>
      <c r="B313" t="s">
        <v>32</v>
      </c>
      <c r="C313" s="5">
        <v>3.76</v>
      </c>
      <c r="D313" s="7">
        <v>85</v>
      </c>
      <c r="E313" s="6">
        <v>13.06</v>
      </c>
      <c r="F313">
        <v>87</v>
      </c>
      <c r="G313" s="3">
        <v>45005.486111111109</v>
      </c>
      <c r="H313" s="3">
        <v>45005.545138888891</v>
      </c>
      <c r="K313" t="s">
        <v>24</v>
      </c>
      <c r="L313" t="s">
        <v>20</v>
      </c>
      <c r="M313" t="str">
        <f>VLOOKUP(Table1[[#This Row],[Job_Status]],$V$2:$W$4,2,FALSE)</f>
        <v>Defect</v>
      </c>
      <c r="N313" s="7">
        <f>VLOOKUP(Table1[[#This Row],[Job_Status]],$V$2:$X$4,3,FALSE)</f>
        <v>100</v>
      </c>
    </row>
    <row r="314" spans="1:14" x14ac:dyDescent="0.3">
      <c r="A314" t="s">
        <v>22</v>
      </c>
      <c r="B314" t="s">
        <v>36</v>
      </c>
      <c r="C314" s="5">
        <v>2.86</v>
      </c>
      <c r="D314" s="7">
        <v>95</v>
      </c>
      <c r="E314" s="6">
        <v>6.84</v>
      </c>
      <c r="F314">
        <v>97</v>
      </c>
      <c r="G314" s="3">
        <v>45005.493055555555</v>
      </c>
      <c r="H314" s="3">
        <v>45005.559027777781</v>
      </c>
      <c r="K314" t="s">
        <v>24</v>
      </c>
      <c r="L314" t="s">
        <v>20</v>
      </c>
      <c r="M314" t="str">
        <f>VLOOKUP(Table1[[#This Row],[Job_Status]],$V$2:$W$4,2,FALSE)</f>
        <v>Defect</v>
      </c>
      <c r="N314" s="7">
        <f>VLOOKUP(Table1[[#This Row],[Job_Status]],$V$2:$X$4,3,FALSE)</f>
        <v>100</v>
      </c>
    </row>
    <row r="315" spans="1:14" x14ac:dyDescent="0.3">
      <c r="A315" t="s">
        <v>34</v>
      </c>
      <c r="B315" t="s">
        <v>32</v>
      </c>
      <c r="C315" s="5">
        <v>2.52</v>
      </c>
      <c r="D315" s="7">
        <v>59</v>
      </c>
      <c r="E315" s="6">
        <v>4.6500000000000004</v>
      </c>
      <c r="F315">
        <v>94</v>
      </c>
      <c r="G315" s="3">
        <v>45005.5</v>
      </c>
      <c r="H315" s="3">
        <v>45005.540972222225</v>
      </c>
      <c r="K315" t="s">
        <v>24</v>
      </c>
      <c r="L315" t="s">
        <v>20</v>
      </c>
      <c r="M315" t="str">
        <f>VLOOKUP(Table1[[#This Row],[Job_Status]],$V$2:$W$4,2,FALSE)</f>
        <v>Defect</v>
      </c>
      <c r="N315" s="7">
        <f>VLOOKUP(Table1[[#This Row],[Job_Status]],$V$2:$X$4,3,FALSE)</f>
        <v>100</v>
      </c>
    </row>
    <row r="316" spans="1:14" x14ac:dyDescent="0.3">
      <c r="A316" t="s">
        <v>34</v>
      </c>
      <c r="B316" t="s">
        <v>15</v>
      </c>
      <c r="C316" s="5">
        <v>4.3899999999999997</v>
      </c>
      <c r="D316" s="7">
        <v>113</v>
      </c>
      <c r="E316" s="6">
        <v>10.52</v>
      </c>
      <c r="F316">
        <v>80</v>
      </c>
      <c r="G316" s="3">
        <v>45005.506944444445</v>
      </c>
      <c r="H316" s="3">
        <v>45005.585416666669</v>
      </c>
      <c r="I316" s="3">
        <v>45005.509027777778</v>
      </c>
      <c r="J316" s="3">
        <v>45005.587500000001</v>
      </c>
      <c r="K316" t="s">
        <v>16</v>
      </c>
      <c r="L316" t="s">
        <v>17</v>
      </c>
      <c r="M316" t="str">
        <f>VLOOKUP(Table1[[#This Row],[Job_Status]],$V$2:$W$4,2,FALSE)</f>
        <v>Good</v>
      </c>
      <c r="N316" s="7">
        <f>VLOOKUP(Table1[[#This Row],[Job_Status]],$V$2:$X$4,3,FALSE)</f>
        <v>0</v>
      </c>
    </row>
    <row r="317" spans="1:14" x14ac:dyDescent="0.3">
      <c r="A317" t="s">
        <v>34</v>
      </c>
      <c r="B317" t="s">
        <v>15</v>
      </c>
      <c r="C317" s="5">
        <v>4.4000000000000004</v>
      </c>
      <c r="D317" s="7">
        <v>51</v>
      </c>
      <c r="E317" s="6">
        <v>4.67</v>
      </c>
      <c r="F317">
        <v>91</v>
      </c>
      <c r="G317" s="3">
        <v>45005.513888888891</v>
      </c>
      <c r="H317" s="3">
        <v>45005.549305555556</v>
      </c>
      <c r="I317" s="3">
        <v>45005.513888888891</v>
      </c>
      <c r="J317" s="3">
        <v>45005.549305555556</v>
      </c>
      <c r="K317" t="s">
        <v>16</v>
      </c>
      <c r="L317" t="s">
        <v>28</v>
      </c>
      <c r="M317" t="str">
        <f>VLOOKUP(Table1[[#This Row],[Job_Status]],$V$2:$W$4,2,FALSE)</f>
        <v>Good</v>
      </c>
      <c r="N317" s="7">
        <f>VLOOKUP(Table1[[#This Row],[Job_Status]],$V$2:$X$4,3,FALSE)</f>
        <v>0</v>
      </c>
    </row>
    <row r="318" spans="1:14" x14ac:dyDescent="0.3">
      <c r="A318" t="s">
        <v>30</v>
      </c>
      <c r="B318" t="s">
        <v>32</v>
      </c>
      <c r="C318" s="5">
        <v>3.4</v>
      </c>
      <c r="D318" s="7">
        <v>105</v>
      </c>
      <c r="E318" s="6">
        <v>14.25</v>
      </c>
      <c r="F318">
        <v>87</v>
      </c>
      <c r="G318" s="3">
        <v>45005.520833333336</v>
      </c>
      <c r="H318" s="3">
        <v>45005.59375</v>
      </c>
      <c r="I318" s="3">
        <v>45005.522222222222</v>
      </c>
      <c r="J318" s="3">
        <v>45005.595138888886</v>
      </c>
      <c r="K318" t="s">
        <v>16</v>
      </c>
      <c r="L318" t="s">
        <v>17</v>
      </c>
      <c r="M318" t="str">
        <f>VLOOKUP(Table1[[#This Row],[Job_Status]],$V$2:$W$4,2,FALSE)</f>
        <v>Good</v>
      </c>
      <c r="N318" s="7">
        <f>VLOOKUP(Table1[[#This Row],[Job_Status]],$V$2:$X$4,3,FALSE)</f>
        <v>0</v>
      </c>
    </row>
    <row r="319" spans="1:14" x14ac:dyDescent="0.3">
      <c r="A319" t="s">
        <v>34</v>
      </c>
      <c r="B319" t="s">
        <v>23</v>
      </c>
      <c r="C319" s="5">
        <v>4.7699999999999996</v>
      </c>
      <c r="D319" s="7">
        <v>70</v>
      </c>
      <c r="E319" s="6">
        <v>4.67</v>
      </c>
      <c r="F319">
        <v>88</v>
      </c>
      <c r="G319" s="3">
        <v>45005.527777777781</v>
      </c>
      <c r="H319" s="3">
        <v>45005.576388888891</v>
      </c>
      <c r="I319" s="3">
        <v>45005.527083333334</v>
      </c>
      <c r="J319" s="3">
        <v>45005.575694444444</v>
      </c>
      <c r="K319" t="s">
        <v>16</v>
      </c>
      <c r="L319" t="s">
        <v>20</v>
      </c>
      <c r="M319" t="str">
        <f>VLOOKUP(Table1[[#This Row],[Job_Status]],$V$2:$W$4,2,FALSE)</f>
        <v>Good</v>
      </c>
      <c r="N319" s="7">
        <f>VLOOKUP(Table1[[#This Row],[Job_Status]],$V$2:$X$4,3,FALSE)</f>
        <v>0</v>
      </c>
    </row>
    <row r="320" spans="1:14" x14ac:dyDescent="0.3">
      <c r="A320" t="s">
        <v>30</v>
      </c>
      <c r="B320" t="s">
        <v>36</v>
      </c>
      <c r="C320" s="5">
        <v>3.6</v>
      </c>
      <c r="D320" s="7">
        <v>87</v>
      </c>
      <c r="E320" s="6">
        <v>10.220000000000001</v>
      </c>
      <c r="F320">
        <v>95</v>
      </c>
      <c r="G320" s="3">
        <v>45005.534722222219</v>
      </c>
      <c r="H320" s="3">
        <v>45005.595138888886</v>
      </c>
      <c r="I320" s="3">
        <v>45005.533333333333</v>
      </c>
      <c r="J320" s="3">
        <v>45005.59375</v>
      </c>
      <c r="K320" t="s">
        <v>16</v>
      </c>
      <c r="L320" t="s">
        <v>20</v>
      </c>
      <c r="M320" t="str">
        <f>VLOOKUP(Table1[[#This Row],[Job_Status]],$V$2:$W$4,2,FALSE)</f>
        <v>Good</v>
      </c>
      <c r="N320" s="7">
        <f>VLOOKUP(Table1[[#This Row],[Job_Status]],$V$2:$X$4,3,FALSE)</f>
        <v>0</v>
      </c>
    </row>
    <row r="321" spans="1:14" x14ac:dyDescent="0.3">
      <c r="A321" t="s">
        <v>40</v>
      </c>
      <c r="B321" t="s">
        <v>32</v>
      </c>
      <c r="C321" s="5">
        <v>3.45</v>
      </c>
      <c r="D321" s="7">
        <v>23</v>
      </c>
      <c r="E321" s="6">
        <v>10.48</v>
      </c>
      <c r="F321">
        <v>80</v>
      </c>
      <c r="G321" s="3">
        <v>45005.541666666664</v>
      </c>
      <c r="H321" s="3">
        <v>45005.557638888888</v>
      </c>
      <c r="I321" s="3">
        <v>45005.540277777778</v>
      </c>
      <c r="J321" s="3">
        <v>45005.556250000001</v>
      </c>
      <c r="K321" t="s">
        <v>16</v>
      </c>
      <c r="L321" t="s">
        <v>20</v>
      </c>
      <c r="M321" t="str">
        <f>VLOOKUP(Table1[[#This Row],[Job_Status]],$V$2:$W$4,2,FALSE)</f>
        <v>Good</v>
      </c>
      <c r="N321" s="7">
        <f>VLOOKUP(Table1[[#This Row],[Job_Status]],$V$2:$X$4,3,FALSE)</f>
        <v>0</v>
      </c>
    </row>
    <row r="322" spans="1:14" x14ac:dyDescent="0.3">
      <c r="A322" t="s">
        <v>22</v>
      </c>
      <c r="B322" t="s">
        <v>15</v>
      </c>
      <c r="C322" s="5">
        <v>2.91</v>
      </c>
      <c r="D322" s="7">
        <v>39</v>
      </c>
      <c r="E322" s="6">
        <v>2.7</v>
      </c>
      <c r="F322">
        <v>92</v>
      </c>
      <c r="G322" s="3">
        <v>45005.548611111109</v>
      </c>
      <c r="H322" s="3">
        <v>45005.575694444444</v>
      </c>
      <c r="I322" s="3">
        <v>45005.551388888889</v>
      </c>
      <c r="J322" s="3">
        <v>45005.578472222223</v>
      </c>
      <c r="K322" t="s">
        <v>16</v>
      </c>
      <c r="L322" t="s">
        <v>28</v>
      </c>
      <c r="M322" t="str">
        <f>VLOOKUP(Table1[[#This Row],[Job_Status]],$V$2:$W$4,2,FALSE)</f>
        <v>Good</v>
      </c>
      <c r="N322" s="7">
        <f>VLOOKUP(Table1[[#This Row],[Job_Status]],$V$2:$X$4,3,FALSE)</f>
        <v>0</v>
      </c>
    </row>
    <row r="323" spans="1:14" x14ac:dyDescent="0.3">
      <c r="A323" t="s">
        <v>14</v>
      </c>
      <c r="B323" t="s">
        <v>23</v>
      </c>
      <c r="C323" s="5">
        <v>4.49</v>
      </c>
      <c r="D323" s="7">
        <v>70</v>
      </c>
      <c r="E323" s="6">
        <v>10.34</v>
      </c>
      <c r="F323">
        <v>93</v>
      </c>
      <c r="G323" s="3">
        <v>45005.555555555555</v>
      </c>
      <c r="H323" s="3">
        <v>45005.604166666664</v>
      </c>
      <c r="I323" s="3">
        <v>45005.567361111112</v>
      </c>
      <c r="J323" s="3">
        <v>45005.615972222222</v>
      </c>
      <c r="K323" t="s">
        <v>19</v>
      </c>
      <c r="L323" t="s">
        <v>20</v>
      </c>
      <c r="M323" t="str">
        <f>VLOOKUP(Table1[[#This Row],[Job_Status]],$V$2:$W$4,2,FALSE)</f>
        <v>Good</v>
      </c>
      <c r="N323" s="7">
        <f>VLOOKUP(Table1[[#This Row],[Job_Status]],$V$2:$X$4,3,FALSE)</f>
        <v>0</v>
      </c>
    </row>
    <row r="324" spans="1:14" x14ac:dyDescent="0.3">
      <c r="A324" t="s">
        <v>40</v>
      </c>
      <c r="B324" t="s">
        <v>27</v>
      </c>
      <c r="C324" s="5">
        <v>3.62</v>
      </c>
      <c r="D324" s="7">
        <v>80</v>
      </c>
      <c r="E324" s="6">
        <v>10.42</v>
      </c>
      <c r="F324">
        <v>88</v>
      </c>
      <c r="G324" s="3">
        <v>45005.5625</v>
      </c>
      <c r="H324" s="3">
        <v>45005.618055555555</v>
      </c>
      <c r="I324" s="3">
        <v>45005.559027777781</v>
      </c>
      <c r="J324" s="3">
        <v>45005.614583333336</v>
      </c>
      <c r="K324" t="s">
        <v>16</v>
      </c>
      <c r="L324" t="s">
        <v>20</v>
      </c>
      <c r="M324" t="str">
        <f>VLOOKUP(Table1[[#This Row],[Job_Status]],$V$2:$W$4,2,FALSE)</f>
        <v>Good</v>
      </c>
      <c r="N324" s="7">
        <f>VLOOKUP(Table1[[#This Row],[Job_Status]],$V$2:$X$4,3,FALSE)</f>
        <v>0</v>
      </c>
    </row>
    <row r="325" spans="1:14" x14ac:dyDescent="0.3">
      <c r="A325" t="s">
        <v>14</v>
      </c>
      <c r="B325" t="s">
        <v>15</v>
      </c>
      <c r="C325" s="5">
        <v>2.23</v>
      </c>
      <c r="D325" s="7">
        <v>90</v>
      </c>
      <c r="E325" s="6">
        <v>5.88</v>
      </c>
      <c r="F325">
        <v>95</v>
      </c>
      <c r="G325" s="3">
        <v>45005.569444444445</v>
      </c>
      <c r="H325" s="3">
        <v>45005.631944444445</v>
      </c>
      <c r="I325" s="3">
        <v>45005.571527777778</v>
      </c>
      <c r="J325" s="3">
        <v>45005.634027777778</v>
      </c>
      <c r="K325" t="s">
        <v>16</v>
      </c>
      <c r="L325" t="s">
        <v>28</v>
      </c>
      <c r="M325" t="str">
        <f>VLOOKUP(Table1[[#This Row],[Job_Status]],$V$2:$W$4,2,FALSE)</f>
        <v>Good</v>
      </c>
      <c r="N325" s="7">
        <f>VLOOKUP(Table1[[#This Row],[Job_Status]],$V$2:$X$4,3,FALSE)</f>
        <v>0</v>
      </c>
    </row>
    <row r="326" spans="1:14" x14ac:dyDescent="0.3">
      <c r="A326" t="s">
        <v>34</v>
      </c>
      <c r="B326" t="s">
        <v>27</v>
      </c>
      <c r="C326" s="5">
        <v>3.12</v>
      </c>
      <c r="D326" s="7">
        <v>21</v>
      </c>
      <c r="E326" s="6">
        <v>11.65</v>
      </c>
      <c r="F326">
        <v>92</v>
      </c>
      <c r="G326" s="3">
        <v>45005.576388888891</v>
      </c>
      <c r="H326" s="3">
        <v>45005.59097222222</v>
      </c>
      <c r="I326" s="3">
        <v>45005.586805555555</v>
      </c>
      <c r="J326" s="3">
        <v>45005.601388888892</v>
      </c>
      <c r="K326" t="s">
        <v>19</v>
      </c>
      <c r="L326" t="s">
        <v>20</v>
      </c>
      <c r="M326" t="str">
        <f>VLOOKUP(Table1[[#This Row],[Job_Status]],$V$2:$W$4,2,FALSE)</f>
        <v>Good</v>
      </c>
      <c r="N326" s="7">
        <f>VLOOKUP(Table1[[#This Row],[Job_Status]],$V$2:$X$4,3,FALSE)</f>
        <v>0</v>
      </c>
    </row>
    <row r="327" spans="1:14" x14ac:dyDescent="0.3">
      <c r="A327" t="s">
        <v>40</v>
      </c>
      <c r="B327" t="s">
        <v>15</v>
      </c>
      <c r="C327" s="5">
        <v>3.95</v>
      </c>
      <c r="D327" s="7">
        <v>112</v>
      </c>
      <c r="E327" s="6">
        <v>4.8499999999999996</v>
      </c>
      <c r="F327">
        <v>87</v>
      </c>
      <c r="G327" s="3">
        <v>45005.583333333336</v>
      </c>
      <c r="H327" s="3">
        <v>45005.661111111112</v>
      </c>
      <c r="K327" t="s">
        <v>24</v>
      </c>
      <c r="L327" t="s">
        <v>20</v>
      </c>
      <c r="M327" t="str">
        <f>VLOOKUP(Table1[[#This Row],[Job_Status]],$V$2:$W$4,2,FALSE)</f>
        <v>Defect</v>
      </c>
      <c r="N327" s="7">
        <f>VLOOKUP(Table1[[#This Row],[Job_Status]],$V$2:$X$4,3,FALSE)</f>
        <v>100</v>
      </c>
    </row>
    <row r="328" spans="1:14" x14ac:dyDescent="0.3">
      <c r="A328" t="s">
        <v>14</v>
      </c>
      <c r="B328" t="s">
        <v>23</v>
      </c>
      <c r="C328" s="5">
        <v>3.87</v>
      </c>
      <c r="D328" s="7">
        <v>60</v>
      </c>
      <c r="E328" s="6">
        <v>4.74</v>
      </c>
      <c r="F328">
        <v>94</v>
      </c>
      <c r="G328" s="3">
        <v>45005.590277777781</v>
      </c>
      <c r="H328" s="3">
        <v>45005.631944444445</v>
      </c>
      <c r="I328" s="3">
        <v>45005.593055555553</v>
      </c>
      <c r="J328" s="3">
        <v>45005.634722222225</v>
      </c>
      <c r="K328" t="s">
        <v>16</v>
      </c>
      <c r="L328" t="s">
        <v>28</v>
      </c>
      <c r="M328" t="str">
        <f>VLOOKUP(Table1[[#This Row],[Job_Status]],$V$2:$W$4,2,FALSE)</f>
        <v>Good</v>
      </c>
      <c r="N328" s="7">
        <f>VLOOKUP(Table1[[#This Row],[Job_Status]],$V$2:$X$4,3,FALSE)</f>
        <v>0</v>
      </c>
    </row>
    <row r="329" spans="1:14" x14ac:dyDescent="0.3">
      <c r="A329" t="s">
        <v>22</v>
      </c>
      <c r="B329" t="s">
        <v>15</v>
      </c>
      <c r="C329" s="5">
        <v>2.87</v>
      </c>
      <c r="D329" s="7">
        <v>73</v>
      </c>
      <c r="E329" s="6">
        <v>11.29</v>
      </c>
      <c r="F329">
        <v>94</v>
      </c>
      <c r="G329" s="3">
        <v>45005.597222222219</v>
      </c>
      <c r="H329" s="3">
        <v>45005.647916666669</v>
      </c>
      <c r="I329" s="3">
        <v>45005.597222222219</v>
      </c>
      <c r="J329" s="3">
        <v>45005.647916666669</v>
      </c>
      <c r="K329" t="s">
        <v>16</v>
      </c>
      <c r="L329" t="s">
        <v>17</v>
      </c>
      <c r="M329" t="str">
        <f>VLOOKUP(Table1[[#This Row],[Job_Status]],$V$2:$W$4,2,FALSE)</f>
        <v>Good</v>
      </c>
      <c r="N329" s="7">
        <f>VLOOKUP(Table1[[#This Row],[Job_Status]],$V$2:$X$4,3,FALSE)</f>
        <v>0</v>
      </c>
    </row>
    <row r="330" spans="1:14" x14ac:dyDescent="0.3">
      <c r="A330" t="s">
        <v>34</v>
      </c>
      <c r="B330" t="s">
        <v>32</v>
      </c>
      <c r="C330" s="5">
        <v>2.2999999999999998</v>
      </c>
      <c r="D330" s="7">
        <v>57</v>
      </c>
      <c r="E330" s="6">
        <v>13.77</v>
      </c>
      <c r="F330">
        <v>81</v>
      </c>
      <c r="G330" s="3">
        <v>45005.604166666664</v>
      </c>
      <c r="H330" s="3">
        <v>45005.643750000003</v>
      </c>
      <c r="I330" s="3">
        <v>45005.607638888891</v>
      </c>
      <c r="J330" s="3">
        <v>45005.647222222222</v>
      </c>
      <c r="K330" t="s">
        <v>16</v>
      </c>
      <c r="L330" t="s">
        <v>17</v>
      </c>
      <c r="M330" t="str">
        <f>VLOOKUP(Table1[[#This Row],[Job_Status]],$V$2:$W$4,2,FALSE)</f>
        <v>Good</v>
      </c>
      <c r="N330" s="7">
        <f>VLOOKUP(Table1[[#This Row],[Job_Status]],$V$2:$X$4,3,FALSE)</f>
        <v>0</v>
      </c>
    </row>
    <row r="331" spans="1:14" x14ac:dyDescent="0.3">
      <c r="A331" t="s">
        <v>34</v>
      </c>
      <c r="B331" t="s">
        <v>23</v>
      </c>
      <c r="C331" s="5">
        <v>4.25</v>
      </c>
      <c r="D331" s="7">
        <v>74</v>
      </c>
      <c r="E331" s="6">
        <v>2.64</v>
      </c>
      <c r="F331">
        <v>90</v>
      </c>
      <c r="G331" s="3">
        <v>45005.611111111109</v>
      </c>
      <c r="H331" s="3">
        <v>45005.662499999999</v>
      </c>
      <c r="I331" s="3">
        <v>45005.619444444441</v>
      </c>
      <c r="J331" s="3">
        <v>45005.67083333333</v>
      </c>
      <c r="K331" t="s">
        <v>19</v>
      </c>
      <c r="L331" t="s">
        <v>20</v>
      </c>
      <c r="M331" t="str">
        <f>VLOOKUP(Table1[[#This Row],[Job_Status]],$V$2:$W$4,2,FALSE)</f>
        <v>Good</v>
      </c>
      <c r="N331" s="7">
        <f>VLOOKUP(Table1[[#This Row],[Job_Status]],$V$2:$X$4,3,FALSE)</f>
        <v>0</v>
      </c>
    </row>
    <row r="332" spans="1:14" x14ac:dyDescent="0.3">
      <c r="A332" t="s">
        <v>14</v>
      </c>
      <c r="B332" t="s">
        <v>23</v>
      </c>
      <c r="C332" s="5">
        <v>4.1399999999999997</v>
      </c>
      <c r="D332" s="7">
        <v>54</v>
      </c>
      <c r="E332" s="6">
        <v>8.66</v>
      </c>
      <c r="F332">
        <v>86</v>
      </c>
      <c r="G332" s="3">
        <v>45005.618055555555</v>
      </c>
      <c r="H332" s="3">
        <v>45005.655555555553</v>
      </c>
      <c r="I332" s="3">
        <v>45005.617361111108</v>
      </c>
      <c r="J332" s="3">
        <v>45005.654861111114</v>
      </c>
      <c r="K332" t="s">
        <v>16</v>
      </c>
      <c r="L332" t="s">
        <v>20</v>
      </c>
      <c r="M332" t="str">
        <f>VLOOKUP(Table1[[#This Row],[Job_Status]],$V$2:$W$4,2,FALSE)</f>
        <v>Good</v>
      </c>
      <c r="N332" s="7">
        <f>VLOOKUP(Table1[[#This Row],[Job_Status]],$V$2:$X$4,3,FALSE)</f>
        <v>0</v>
      </c>
    </row>
    <row r="333" spans="1:14" x14ac:dyDescent="0.3">
      <c r="A333" t="s">
        <v>22</v>
      </c>
      <c r="B333" t="s">
        <v>23</v>
      </c>
      <c r="C333" s="5">
        <v>4.45</v>
      </c>
      <c r="D333" s="7">
        <v>27</v>
      </c>
      <c r="E333" s="6">
        <v>5.78</v>
      </c>
      <c r="F333">
        <v>97</v>
      </c>
      <c r="G333" s="3">
        <v>45005.625</v>
      </c>
      <c r="H333" s="3">
        <v>45005.643750000003</v>
      </c>
      <c r="I333" s="3">
        <v>45005.621527777781</v>
      </c>
      <c r="J333" s="3">
        <v>45005.640277777777</v>
      </c>
      <c r="K333" t="s">
        <v>16</v>
      </c>
      <c r="L333" t="s">
        <v>20</v>
      </c>
      <c r="M333" t="str">
        <f>VLOOKUP(Table1[[#This Row],[Job_Status]],$V$2:$W$4,2,FALSE)</f>
        <v>Good</v>
      </c>
      <c r="N333" s="7">
        <f>VLOOKUP(Table1[[#This Row],[Job_Status]],$V$2:$X$4,3,FALSE)</f>
        <v>0</v>
      </c>
    </row>
    <row r="334" spans="1:14" x14ac:dyDescent="0.3">
      <c r="A334" t="s">
        <v>34</v>
      </c>
      <c r="B334" t="s">
        <v>15</v>
      </c>
      <c r="C334" s="5">
        <v>1.19</v>
      </c>
      <c r="D334" s="7">
        <v>114</v>
      </c>
      <c r="E334" s="6">
        <v>9.52</v>
      </c>
      <c r="F334">
        <v>81</v>
      </c>
      <c r="G334" s="3">
        <v>45005.631944444445</v>
      </c>
      <c r="H334" s="3">
        <v>45005.711111111108</v>
      </c>
      <c r="I334" s="3">
        <v>45005.629166666666</v>
      </c>
      <c r="J334" s="3">
        <v>45005.708333333336</v>
      </c>
      <c r="K334" t="s">
        <v>16</v>
      </c>
      <c r="L334" t="s">
        <v>20</v>
      </c>
      <c r="M334" t="str">
        <f>VLOOKUP(Table1[[#This Row],[Job_Status]],$V$2:$W$4,2,FALSE)</f>
        <v>Good</v>
      </c>
      <c r="N334" s="7">
        <f>VLOOKUP(Table1[[#This Row],[Job_Status]],$V$2:$X$4,3,FALSE)</f>
        <v>0</v>
      </c>
    </row>
    <row r="335" spans="1:14" x14ac:dyDescent="0.3">
      <c r="A335" t="s">
        <v>30</v>
      </c>
      <c r="B335" t="s">
        <v>27</v>
      </c>
      <c r="C335" s="5">
        <v>1.1499999999999999</v>
      </c>
      <c r="D335" s="7">
        <v>61</v>
      </c>
      <c r="E335" s="6">
        <v>11.45</v>
      </c>
      <c r="F335">
        <v>85</v>
      </c>
      <c r="G335" s="3">
        <v>45005.638888888891</v>
      </c>
      <c r="H335" s="3">
        <v>45005.681250000001</v>
      </c>
      <c r="I335" s="3">
        <v>45005.647222222222</v>
      </c>
      <c r="J335" s="3">
        <v>45005.689583333333</v>
      </c>
      <c r="K335" t="s">
        <v>19</v>
      </c>
      <c r="L335" t="s">
        <v>20</v>
      </c>
      <c r="M335" t="str">
        <f>VLOOKUP(Table1[[#This Row],[Job_Status]],$V$2:$W$4,2,FALSE)</f>
        <v>Good</v>
      </c>
      <c r="N335" s="7">
        <f>VLOOKUP(Table1[[#This Row],[Job_Status]],$V$2:$X$4,3,FALSE)</f>
        <v>0</v>
      </c>
    </row>
    <row r="336" spans="1:14" x14ac:dyDescent="0.3">
      <c r="A336" t="s">
        <v>22</v>
      </c>
      <c r="B336" t="s">
        <v>32</v>
      </c>
      <c r="C336" s="5">
        <v>2.7</v>
      </c>
      <c r="D336" s="7">
        <v>67</v>
      </c>
      <c r="E336" s="6">
        <v>5.28</v>
      </c>
      <c r="F336">
        <v>84</v>
      </c>
      <c r="G336" s="3">
        <v>45005.645833333336</v>
      </c>
      <c r="H336" s="3">
        <v>45005.692361111112</v>
      </c>
      <c r="K336" t="s">
        <v>24</v>
      </c>
      <c r="L336" t="s">
        <v>20</v>
      </c>
      <c r="M336" t="str">
        <f>VLOOKUP(Table1[[#This Row],[Job_Status]],$V$2:$W$4,2,FALSE)</f>
        <v>Defect</v>
      </c>
      <c r="N336" s="7">
        <f>VLOOKUP(Table1[[#This Row],[Job_Status]],$V$2:$X$4,3,FALSE)</f>
        <v>100</v>
      </c>
    </row>
    <row r="337" spans="1:14" x14ac:dyDescent="0.3">
      <c r="A337" t="s">
        <v>34</v>
      </c>
      <c r="B337" t="s">
        <v>23</v>
      </c>
      <c r="C337" s="5">
        <v>2.63</v>
      </c>
      <c r="D337" s="7">
        <v>59</v>
      </c>
      <c r="E337" s="6">
        <v>13.01</v>
      </c>
      <c r="F337">
        <v>85</v>
      </c>
      <c r="G337" s="3">
        <v>45005.652777777781</v>
      </c>
      <c r="H337" s="3">
        <v>45005.693749999999</v>
      </c>
      <c r="I337" s="3">
        <v>45005.655555555553</v>
      </c>
      <c r="J337" s="3">
        <v>45005.696527777778</v>
      </c>
      <c r="K337" t="s">
        <v>16</v>
      </c>
      <c r="L337" t="s">
        <v>17</v>
      </c>
      <c r="M337" t="str">
        <f>VLOOKUP(Table1[[#This Row],[Job_Status]],$V$2:$W$4,2,FALSE)</f>
        <v>Good</v>
      </c>
      <c r="N337" s="7">
        <f>VLOOKUP(Table1[[#This Row],[Job_Status]],$V$2:$X$4,3,FALSE)</f>
        <v>0</v>
      </c>
    </row>
    <row r="338" spans="1:14" x14ac:dyDescent="0.3">
      <c r="A338" t="s">
        <v>34</v>
      </c>
      <c r="B338" t="s">
        <v>15</v>
      </c>
      <c r="C338" s="5">
        <v>4.6900000000000004</v>
      </c>
      <c r="D338" s="7">
        <v>25</v>
      </c>
      <c r="E338" s="6">
        <v>10.4</v>
      </c>
      <c r="F338">
        <v>87</v>
      </c>
      <c r="G338" s="3">
        <v>45005.659722222219</v>
      </c>
      <c r="H338" s="3">
        <v>45005.677083333336</v>
      </c>
      <c r="I338" s="3">
        <v>45005.658333333333</v>
      </c>
      <c r="J338" s="3">
        <v>45005.675694444442</v>
      </c>
      <c r="K338" t="s">
        <v>16</v>
      </c>
      <c r="L338" t="s">
        <v>20</v>
      </c>
      <c r="M338" t="str">
        <f>VLOOKUP(Table1[[#This Row],[Job_Status]],$V$2:$W$4,2,FALSE)</f>
        <v>Good</v>
      </c>
      <c r="N338" s="7">
        <f>VLOOKUP(Table1[[#This Row],[Job_Status]],$V$2:$X$4,3,FALSE)</f>
        <v>0</v>
      </c>
    </row>
    <row r="339" spans="1:14" x14ac:dyDescent="0.3">
      <c r="A339" t="s">
        <v>30</v>
      </c>
      <c r="B339" t="s">
        <v>27</v>
      </c>
      <c r="C339" s="5">
        <v>2.15</v>
      </c>
      <c r="D339" s="7">
        <v>78</v>
      </c>
      <c r="E339" s="6">
        <v>13.17</v>
      </c>
      <c r="F339">
        <v>97</v>
      </c>
      <c r="G339" s="3">
        <v>45005.666666666664</v>
      </c>
      <c r="H339" s="3">
        <v>45005.720833333333</v>
      </c>
      <c r="I339" s="3">
        <v>45005.677777777775</v>
      </c>
      <c r="J339" s="3">
        <v>45005.731944444444</v>
      </c>
      <c r="K339" t="s">
        <v>19</v>
      </c>
      <c r="L339" t="s">
        <v>20</v>
      </c>
      <c r="M339" t="str">
        <f>VLOOKUP(Table1[[#This Row],[Job_Status]],$V$2:$W$4,2,FALSE)</f>
        <v>Good</v>
      </c>
      <c r="N339" s="7">
        <f>VLOOKUP(Table1[[#This Row],[Job_Status]],$V$2:$X$4,3,FALSE)</f>
        <v>0</v>
      </c>
    </row>
    <row r="340" spans="1:14" x14ac:dyDescent="0.3">
      <c r="A340" t="s">
        <v>14</v>
      </c>
      <c r="B340" t="s">
        <v>23</v>
      </c>
      <c r="C340" s="5">
        <v>2.04</v>
      </c>
      <c r="D340" s="7">
        <v>71</v>
      </c>
      <c r="E340" s="6">
        <v>13.97</v>
      </c>
      <c r="F340">
        <v>93</v>
      </c>
      <c r="G340" s="3">
        <v>45005.673611111109</v>
      </c>
      <c r="H340" s="3">
        <v>45005.722916666666</v>
      </c>
      <c r="I340" s="3">
        <v>45005.670138888891</v>
      </c>
      <c r="J340" s="3">
        <v>45005.719444444447</v>
      </c>
      <c r="K340" t="s">
        <v>16</v>
      </c>
      <c r="L340" t="s">
        <v>20</v>
      </c>
      <c r="M340" t="str">
        <f>VLOOKUP(Table1[[#This Row],[Job_Status]],$V$2:$W$4,2,FALSE)</f>
        <v>Good</v>
      </c>
      <c r="N340" s="7">
        <f>VLOOKUP(Table1[[#This Row],[Job_Status]],$V$2:$X$4,3,FALSE)</f>
        <v>0</v>
      </c>
    </row>
    <row r="341" spans="1:14" x14ac:dyDescent="0.3">
      <c r="A341" t="s">
        <v>40</v>
      </c>
      <c r="B341" t="s">
        <v>27</v>
      </c>
      <c r="C341" s="5">
        <v>1.8</v>
      </c>
      <c r="D341" s="7">
        <v>74</v>
      </c>
      <c r="E341" s="6">
        <v>11.52</v>
      </c>
      <c r="F341">
        <v>94</v>
      </c>
      <c r="G341" s="3">
        <v>45005.680555555555</v>
      </c>
      <c r="H341" s="3">
        <v>45005.731944444444</v>
      </c>
      <c r="I341" s="3">
        <v>45005.684027777781</v>
      </c>
      <c r="J341" s="3">
        <v>45005.73541666667</v>
      </c>
      <c r="K341" t="s">
        <v>16</v>
      </c>
      <c r="L341" t="s">
        <v>17</v>
      </c>
      <c r="M341" t="str">
        <f>VLOOKUP(Table1[[#This Row],[Job_Status]],$V$2:$W$4,2,FALSE)</f>
        <v>Good</v>
      </c>
      <c r="N341" s="7">
        <f>VLOOKUP(Table1[[#This Row],[Job_Status]],$V$2:$X$4,3,FALSE)</f>
        <v>0</v>
      </c>
    </row>
    <row r="342" spans="1:14" x14ac:dyDescent="0.3">
      <c r="A342" t="s">
        <v>34</v>
      </c>
      <c r="B342" t="s">
        <v>36</v>
      </c>
      <c r="C342" s="5">
        <v>2.2000000000000002</v>
      </c>
      <c r="D342" s="7">
        <v>58</v>
      </c>
      <c r="E342" s="6">
        <v>6.8</v>
      </c>
      <c r="F342">
        <v>92</v>
      </c>
      <c r="G342" s="3">
        <v>45005.6875</v>
      </c>
      <c r="H342" s="3">
        <v>45005.727777777778</v>
      </c>
      <c r="I342" s="3">
        <v>45005.704861111109</v>
      </c>
      <c r="J342" s="3">
        <v>45005.745138888888</v>
      </c>
      <c r="K342" t="s">
        <v>19</v>
      </c>
      <c r="L342" t="s">
        <v>20</v>
      </c>
      <c r="M342" t="str">
        <f>VLOOKUP(Table1[[#This Row],[Job_Status]],$V$2:$W$4,2,FALSE)</f>
        <v>Good</v>
      </c>
      <c r="N342" s="7">
        <f>VLOOKUP(Table1[[#This Row],[Job_Status]],$V$2:$X$4,3,FALSE)</f>
        <v>0</v>
      </c>
    </row>
    <row r="343" spans="1:14" x14ac:dyDescent="0.3">
      <c r="A343" t="s">
        <v>40</v>
      </c>
      <c r="B343" t="s">
        <v>15</v>
      </c>
      <c r="C343" s="5">
        <v>1.18</v>
      </c>
      <c r="D343" s="7">
        <v>96</v>
      </c>
      <c r="E343" s="6">
        <v>13.66</v>
      </c>
      <c r="F343">
        <v>91</v>
      </c>
      <c r="G343" s="3">
        <v>45005.694444444445</v>
      </c>
      <c r="H343" s="3">
        <v>45005.761111111111</v>
      </c>
      <c r="K343" t="s">
        <v>24</v>
      </c>
      <c r="L343" t="s">
        <v>20</v>
      </c>
      <c r="M343" t="str">
        <f>VLOOKUP(Table1[[#This Row],[Job_Status]],$V$2:$W$4,2,FALSE)</f>
        <v>Defect</v>
      </c>
      <c r="N343" s="7">
        <f>VLOOKUP(Table1[[#This Row],[Job_Status]],$V$2:$X$4,3,FALSE)</f>
        <v>100</v>
      </c>
    </row>
    <row r="344" spans="1:14" x14ac:dyDescent="0.3">
      <c r="A344" t="s">
        <v>22</v>
      </c>
      <c r="B344" t="s">
        <v>15</v>
      </c>
      <c r="C344" s="5">
        <v>1.92</v>
      </c>
      <c r="D344" s="7">
        <v>118</v>
      </c>
      <c r="E344" s="6">
        <v>5</v>
      </c>
      <c r="F344">
        <v>98</v>
      </c>
      <c r="G344" s="3">
        <v>45005.701388888891</v>
      </c>
      <c r="H344" s="3">
        <v>45005.783333333333</v>
      </c>
      <c r="K344" t="s">
        <v>24</v>
      </c>
      <c r="L344" t="s">
        <v>20</v>
      </c>
      <c r="M344" t="str">
        <f>VLOOKUP(Table1[[#This Row],[Job_Status]],$V$2:$W$4,2,FALSE)</f>
        <v>Defect</v>
      </c>
      <c r="N344" s="7">
        <f>VLOOKUP(Table1[[#This Row],[Job_Status]],$V$2:$X$4,3,FALSE)</f>
        <v>100</v>
      </c>
    </row>
    <row r="345" spans="1:14" x14ac:dyDescent="0.3">
      <c r="A345" t="s">
        <v>30</v>
      </c>
      <c r="B345" t="s">
        <v>15</v>
      </c>
      <c r="C345" s="5">
        <v>4.88</v>
      </c>
      <c r="D345" s="7">
        <v>100</v>
      </c>
      <c r="E345" s="6">
        <v>10.38</v>
      </c>
      <c r="F345">
        <v>90</v>
      </c>
      <c r="G345" s="3">
        <v>45005.708333333336</v>
      </c>
      <c r="H345" s="3">
        <v>45005.777777777781</v>
      </c>
      <c r="I345" s="3">
        <v>45005.705555555556</v>
      </c>
      <c r="J345" s="3">
        <v>45005.775000000001</v>
      </c>
      <c r="K345" t="s">
        <v>16</v>
      </c>
      <c r="L345" t="s">
        <v>20</v>
      </c>
      <c r="M345" t="str">
        <f>VLOOKUP(Table1[[#This Row],[Job_Status]],$V$2:$W$4,2,FALSE)</f>
        <v>Good</v>
      </c>
      <c r="N345" s="7">
        <f>VLOOKUP(Table1[[#This Row],[Job_Status]],$V$2:$X$4,3,FALSE)</f>
        <v>0</v>
      </c>
    </row>
    <row r="346" spans="1:14" x14ac:dyDescent="0.3">
      <c r="A346" t="s">
        <v>14</v>
      </c>
      <c r="B346" t="s">
        <v>27</v>
      </c>
      <c r="C346" s="5">
        <v>3.32</v>
      </c>
      <c r="D346" s="7">
        <v>94</v>
      </c>
      <c r="E346" s="6">
        <v>14.98</v>
      </c>
      <c r="F346">
        <v>86</v>
      </c>
      <c r="G346" s="3">
        <v>45005.715277777781</v>
      </c>
      <c r="H346" s="3">
        <v>45005.780555555553</v>
      </c>
      <c r="I346" s="3">
        <v>45005.71875</v>
      </c>
      <c r="J346" s="3">
        <v>45005.78402777778</v>
      </c>
      <c r="K346" t="s">
        <v>16</v>
      </c>
      <c r="L346" t="s">
        <v>17</v>
      </c>
      <c r="M346" t="str">
        <f>VLOOKUP(Table1[[#This Row],[Job_Status]],$V$2:$W$4,2,FALSE)</f>
        <v>Good</v>
      </c>
      <c r="N346" s="7">
        <f>VLOOKUP(Table1[[#This Row],[Job_Status]],$V$2:$X$4,3,FALSE)</f>
        <v>0</v>
      </c>
    </row>
    <row r="347" spans="1:14" x14ac:dyDescent="0.3">
      <c r="A347" t="s">
        <v>34</v>
      </c>
      <c r="B347" t="s">
        <v>27</v>
      </c>
      <c r="C347" s="5">
        <v>3.07</v>
      </c>
      <c r="D347" s="7">
        <v>37</v>
      </c>
      <c r="E347" s="6">
        <v>6.03</v>
      </c>
      <c r="F347">
        <v>85</v>
      </c>
      <c r="G347" s="3">
        <v>45005.722222222219</v>
      </c>
      <c r="H347" s="3">
        <v>45005.747916666667</v>
      </c>
      <c r="K347" t="s">
        <v>24</v>
      </c>
      <c r="L347" t="s">
        <v>20</v>
      </c>
      <c r="M347" t="str">
        <f>VLOOKUP(Table1[[#This Row],[Job_Status]],$V$2:$W$4,2,FALSE)</f>
        <v>Defect</v>
      </c>
      <c r="N347" s="7">
        <f>VLOOKUP(Table1[[#This Row],[Job_Status]],$V$2:$X$4,3,FALSE)</f>
        <v>100</v>
      </c>
    </row>
    <row r="348" spans="1:14" x14ac:dyDescent="0.3">
      <c r="A348" t="s">
        <v>22</v>
      </c>
      <c r="B348" t="s">
        <v>36</v>
      </c>
      <c r="C348" s="5">
        <v>3.59</v>
      </c>
      <c r="D348" s="7">
        <v>29</v>
      </c>
      <c r="E348" s="6">
        <v>13.78</v>
      </c>
      <c r="F348">
        <v>80</v>
      </c>
      <c r="G348" s="3">
        <v>45005.729166666664</v>
      </c>
      <c r="H348" s="3">
        <v>45005.749305555553</v>
      </c>
      <c r="I348" s="3">
        <v>45005.728472222225</v>
      </c>
      <c r="J348" s="3">
        <v>45005.748611111114</v>
      </c>
      <c r="K348" t="s">
        <v>16</v>
      </c>
      <c r="L348" t="s">
        <v>20</v>
      </c>
      <c r="M348" t="str">
        <f>VLOOKUP(Table1[[#This Row],[Job_Status]],$V$2:$W$4,2,FALSE)</f>
        <v>Good</v>
      </c>
      <c r="N348" s="7">
        <f>VLOOKUP(Table1[[#This Row],[Job_Status]],$V$2:$X$4,3,FALSE)</f>
        <v>0</v>
      </c>
    </row>
    <row r="349" spans="1:14" x14ac:dyDescent="0.3">
      <c r="A349" t="s">
        <v>14</v>
      </c>
      <c r="B349" t="s">
        <v>27</v>
      </c>
      <c r="C349" s="5">
        <v>4.0199999999999996</v>
      </c>
      <c r="D349" s="7">
        <v>73</v>
      </c>
      <c r="E349" s="6">
        <v>14.45</v>
      </c>
      <c r="F349">
        <v>96</v>
      </c>
      <c r="G349" s="3">
        <v>45005.736111111109</v>
      </c>
      <c r="H349" s="3">
        <v>45005.786805555559</v>
      </c>
      <c r="I349" s="3">
        <v>45005.734027777777</v>
      </c>
      <c r="J349" s="3">
        <v>45005.784722222219</v>
      </c>
      <c r="K349" t="s">
        <v>16</v>
      </c>
      <c r="L349" t="s">
        <v>20</v>
      </c>
      <c r="M349" t="str">
        <f>VLOOKUP(Table1[[#This Row],[Job_Status]],$V$2:$W$4,2,FALSE)</f>
        <v>Good</v>
      </c>
      <c r="N349" s="7">
        <f>VLOOKUP(Table1[[#This Row],[Job_Status]],$V$2:$X$4,3,FALSE)</f>
        <v>0</v>
      </c>
    </row>
    <row r="350" spans="1:14" x14ac:dyDescent="0.3">
      <c r="A350" t="s">
        <v>30</v>
      </c>
      <c r="B350" t="s">
        <v>36</v>
      </c>
      <c r="C350" s="5">
        <v>1.74</v>
      </c>
      <c r="D350" s="7">
        <v>92</v>
      </c>
      <c r="E350" s="6">
        <v>8.7899999999999991</v>
      </c>
      <c r="F350">
        <v>91</v>
      </c>
      <c r="G350" s="3">
        <v>45005.743055555555</v>
      </c>
      <c r="H350" s="3">
        <v>45005.806944444441</v>
      </c>
      <c r="I350" s="3">
        <v>45005.743750000001</v>
      </c>
      <c r="J350" s="3">
        <v>45005.807638888888</v>
      </c>
      <c r="K350" t="s">
        <v>16</v>
      </c>
      <c r="L350" t="s">
        <v>28</v>
      </c>
      <c r="M350" t="str">
        <f>VLOOKUP(Table1[[#This Row],[Job_Status]],$V$2:$W$4,2,FALSE)</f>
        <v>Good</v>
      </c>
      <c r="N350" s="7">
        <f>VLOOKUP(Table1[[#This Row],[Job_Status]],$V$2:$X$4,3,FALSE)</f>
        <v>0</v>
      </c>
    </row>
    <row r="351" spans="1:14" x14ac:dyDescent="0.3">
      <c r="A351" t="s">
        <v>22</v>
      </c>
      <c r="B351" t="s">
        <v>15</v>
      </c>
      <c r="C351" s="5">
        <v>3.27</v>
      </c>
      <c r="D351" s="7">
        <v>86</v>
      </c>
      <c r="E351" s="6">
        <v>10.39</v>
      </c>
      <c r="F351">
        <v>96</v>
      </c>
      <c r="G351" s="3">
        <v>45005.75</v>
      </c>
      <c r="H351" s="3">
        <v>45005.80972222222</v>
      </c>
      <c r="I351" s="3">
        <v>45005.748611111114</v>
      </c>
      <c r="J351" s="3">
        <v>45005.808333333334</v>
      </c>
      <c r="K351" t="s">
        <v>16</v>
      </c>
      <c r="L351" t="s">
        <v>20</v>
      </c>
      <c r="M351" t="str">
        <f>VLOOKUP(Table1[[#This Row],[Job_Status]],$V$2:$W$4,2,FALSE)</f>
        <v>Good</v>
      </c>
      <c r="N351" s="7">
        <f>VLOOKUP(Table1[[#This Row],[Job_Status]],$V$2:$X$4,3,FALSE)</f>
        <v>0</v>
      </c>
    </row>
    <row r="352" spans="1:14" x14ac:dyDescent="0.3">
      <c r="A352" t="s">
        <v>40</v>
      </c>
      <c r="B352" t="s">
        <v>23</v>
      </c>
      <c r="C352" s="5">
        <v>2.11</v>
      </c>
      <c r="D352" s="7">
        <v>77</v>
      </c>
      <c r="E352" s="6">
        <v>10.81</v>
      </c>
      <c r="F352">
        <v>95</v>
      </c>
      <c r="G352" s="3">
        <v>45005.756944444445</v>
      </c>
      <c r="H352" s="3">
        <v>45005.810416666667</v>
      </c>
      <c r="I352" s="3">
        <v>45005.756249999999</v>
      </c>
      <c r="J352" s="3">
        <v>45005.80972222222</v>
      </c>
      <c r="K352" t="s">
        <v>16</v>
      </c>
      <c r="L352" t="s">
        <v>20</v>
      </c>
      <c r="M352" t="str">
        <f>VLOOKUP(Table1[[#This Row],[Job_Status]],$V$2:$W$4,2,FALSE)</f>
        <v>Good</v>
      </c>
      <c r="N352" s="7">
        <f>VLOOKUP(Table1[[#This Row],[Job_Status]],$V$2:$X$4,3,FALSE)</f>
        <v>0</v>
      </c>
    </row>
    <row r="353" spans="1:14" x14ac:dyDescent="0.3">
      <c r="A353" t="s">
        <v>22</v>
      </c>
      <c r="B353" t="s">
        <v>23</v>
      </c>
      <c r="C353" s="5">
        <v>2.12</v>
      </c>
      <c r="D353" s="7">
        <v>51</v>
      </c>
      <c r="E353" s="6">
        <v>9.83</v>
      </c>
      <c r="F353">
        <v>87</v>
      </c>
      <c r="G353" s="3">
        <v>45005.763888888891</v>
      </c>
      <c r="H353" s="3">
        <v>45005.799305555556</v>
      </c>
      <c r="I353" s="3">
        <v>45005.765277777777</v>
      </c>
      <c r="J353" s="3">
        <v>45005.800694444442</v>
      </c>
      <c r="K353" t="s">
        <v>16</v>
      </c>
      <c r="L353" t="s">
        <v>17</v>
      </c>
      <c r="M353" t="str">
        <f>VLOOKUP(Table1[[#This Row],[Job_Status]],$V$2:$W$4,2,FALSE)</f>
        <v>Good</v>
      </c>
      <c r="N353" s="7">
        <f>VLOOKUP(Table1[[#This Row],[Job_Status]],$V$2:$X$4,3,FALSE)</f>
        <v>0</v>
      </c>
    </row>
    <row r="354" spans="1:14" x14ac:dyDescent="0.3">
      <c r="A354" t="s">
        <v>14</v>
      </c>
      <c r="B354" t="s">
        <v>27</v>
      </c>
      <c r="C354" s="5">
        <v>2.46</v>
      </c>
      <c r="D354" s="7">
        <v>93</v>
      </c>
      <c r="E354" s="6">
        <v>14.04</v>
      </c>
      <c r="F354">
        <v>82</v>
      </c>
      <c r="G354" s="3">
        <v>45005.770833333336</v>
      </c>
      <c r="H354" s="3">
        <v>45005.835416666669</v>
      </c>
      <c r="I354" s="3">
        <v>45005.772916666669</v>
      </c>
      <c r="J354" s="3">
        <v>45005.837500000001</v>
      </c>
      <c r="K354" t="s">
        <v>16</v>
      </c>
      <c r="L354" t="s">
        <v>17</v>
      </c>
      <c r="M354" t="str">
        <f>VLOOKUP(Table1[[#This Row],[Job_Status]],$V$2:$W$4,2,FALSE)</f>
        <v>Good</v>
      </c>
      <c r="N354" s="7">
        <f>VLOOKUP(Table1[[#This Row],[Job_Status]],$V$2:$X$4,3,FALSE)</f>
        <v>0</v>
      </c>
    </row>
    <row r="355" spans="1:14" x14ac:dyDescent="0.3">
      <c r="A355" t="s">
        <v>30</v>
      </c>
      <c r="B355" t="s">
        <v>23</v>
      </c>
      <c r="C355" s="5">
        <v>2.46</v>
      </c>
      <c r="D355" s="7">
        <v>36</v>
      </c>
      <c r="E355" s="6">
        <v>5.98</v>
      </c>
      <c r="F355">
        <v>84</v>
      </c>
      <c r="G355" s="3">
        <v>45005.777777777781</v>
      </c>
      <c r="H355" s="3">
        <v>45005.802777777775</v>
      </c>
      <c r="I355" s="3">
        <v>45005.779861111114</v>
      </c>
      <c r="J355" s="3">
        <v>45005.804861111108</v>
      </c>
      <c r="K355" t="s">
        <v>16</v>
      </c>
      <c r="L355" t="s">
        <v>28</v>
      </c>
      <c r="M355" t="str">
        <f>VLOOKUP(Table1[[#This Row],[Job_Status]],$V$2:$W$4,2,FALSE)</f>
        <v>Good</v>
      </c>
      <c r="N355" s="7">
        <f>VLOOKUP(Table1[[#This Row],[Job_Status]],$V$2:$X$4,3,FALSE)</f>
        <v>0</v>
      </c>
    </row>
    <row r="356" spans="1:14" x14ac:dyDescent="0.3">
      <c r="A356" t="s">
        <v>40</v>
      </c>
      <c r="B356" t="s">
        <v>15</v>
      </c>
      <c r="C356" s="5">
        <v>1.3</v>
      </c>
      <c r="D356" s="7">
        <v>61</v>
      </c>
      <c r="E356" s="6">
        <v>13.62</v>
      </c>
      <c r="F356">
        <v>84</v>
      </c>
      <c r="G356" s="3">
        <v>45005.784722222219</v>
      </c>
      <c r="H356" s="3">
        <v>45005.82708333333</v>
      </c>
      <c r="I356" s="3">
        <v>45005.788194444445</v>
      </c>
      <c r="J356" s="3">
        <v>45005.830555555556</v>
      </c>
      <c r="K356" t="s">
        <v>16</v>
      </c>
      <c r="L356" t="s">
        <v>17</v>
      </c>
      <c r="M356" t="str">
        <f>VLOOKUP(Table1[[#This Row],[Job_Status]],$V$2:$W$4,2,FALSE)</f>
        <v>Good</v>
      </c>
      <c r="N356" s="7">
        <f>VLOOKUP(Table1[[#This Row],[Job_Status]],$V$2:$X$4,3,FALSE)</f>
        <v>0</v>
      </c>
    </row>
    <row r="357" spans="1:14" x14ac:dyDescent="0.3">
      <c r="A357" t="s">
        <v>40</v>
      </c>
      <c r="B357" t="s">
        <v>36</v>
      </c>
      <c r="C357" s="5">
        <v>4.99</v>
      </c>
      <c r="D357" s="7">
        <v>87</v>
      </c>
      <c r="E357" s="6">
        <v>5.88</v>
      </c>
      <c r="F357">
        <v>80</v>
      </c>
      <c r="G357" s="3">
        <v>45005.791666666664</v>
      </c>
      <c r="H357" s="3">
        <v>45005.852083333331</v>
      </c>
      <c r="I357" s="3">
        <v>45005.789583333331</v>
      </c>
      <c r="J357" s="3">
        <v>45005.85</v>
      </c>
      <c r="K357" t="s">
        <v>16</v>
      </c>
      <c r="L357" t="s">
        <v>20</v>
      </c>
      <c r="M357" t="str">
        <f>VLOOKUP(Table1[[#This Row],[Job_Status]],$V$2:$W$4,2,FALSE)</f>
        <v>Good</v>
      </c>
      <c r="N357" s="7">
        <f>VLOOKUP(Table1[[#This Row],[Job_Status]],$V$2:$X$4,3,FALSE)</f>
        <v>0</v>
      </c>
    </row>
    <row r="358" spans="1:14" x14ac:dyDescent="0.3">
      <c r="A358" t="s">
        <v>14</v>
      </c>
      <c r="B358" t="s">
        <v>27</v>
      </c>
      <c r="C358" s="5">
        <v>2.2200000000000002</v>
      </c>
      <c r="D358" s="7">
        <v>101</v>
      </c>
      <c r="E358" s="6">
        <v>10.119999999999999</v>
      </c>
      <c r="F358">
        <v>85</v>
      </c>
      <c r="G358" s="3">
        <v>45005.798611111109</v>
      </c>
      <c r="H358" s="3">
        <v>45005.868750000001</v>
      </c>
      <c r="I358" s="3">
        <v>45005.79791666667</v>
      </c>
      <c r="J358" s="3">
        <v>45005.868055555555</v>
      </c>
      <c r="K358" t="s">
        <v>16</v>
      </c>
      <c r="L358" t="s">
        <v>20</v>
      </c>
      <c r="M358" t="str">
        <f>VLOOKUP(Table1[[#This Row],[Job_Status]],$V$2:$W$4,2,FALSE)</f>
        <v>Good</v>
      </c>
      <c r="N358" s="7">
        <f>VLOOKUP(Table1[[#This Row],[Job_Status]],$V$2:$X$4,3,FALSE)</f>
        <v>0</v>
      </c>
    </row>
    <row r="359" spans="1:14" x14ac:dyDescent="0.3">
      <c r="A359" t="s">
        <v>34</v>
      </c>
      <c r="B359" t="s">
        <v>23</v>
      </c>
      <c r="C359" s="5">
        <v>2.75</v>
      </c>
      <c r="D359" s="7">
        <v>116</v>
      </c>
      <c r="E359" s="6">
        <v>11.31</v>
      </c>
      <c r="F359">
        <v>99</v>
      </c>
      <c r="G359" s="3">
        <v>45005.805555555555</v>
      </c>
      <c r="H359" s="3">
        <v>45005.886111111111</v>
      </c>
      <c r="I359" s="3">
        <v>45005.802083333336</v>
      </c>
      <c r="J359" s="3">
        <v>45005.882638888892</v>
      </c>
      <c r="K359" t="s">
        <v>16</v>
      </c>
      <c r="L359" t="s">
        <v>20</v>
      </c>
      <c r="M359" t="str">
        <f>VLOOKUP(Table1[[#This Row],[Job_Status]],$V$2:$W$4,2,FALSE)</f>
        <v>Good</v>
      </c>
      <c r="N359" s="7">
        <f>VLOOKUP(Table1[[#This Row],[Job_Status]],$V$2:$X$4,3,FALSE)</f>
        <v>0</v>
      </c>
    </row>
    <row r="360" spans="1:14" x14ac:dyDescent="0.3">
      <c r="A360" t="s">
        <v>14</v>
      </c>
      <c r="B360" t="s">
        <v>15</v>
      </c>
      <c r="C360" s="5">
        <v>4.12</v>
      </c>
      <c r="D360" s="7">
        <v>66</v>
      </c>
      <c r="E360" s="6">
        <v>8.7899999999999991</v>
      </c>
      <c r="F360">
        <v>93</v>
      </c>
      <c r="G360" s="3">
        <v>45005.8125</v>
      </c>
      <c r="H360" s="3">
        <v>45005.85833333333</v>
      </c>
      <c r="K360" t="s">
        <v>24</v>
      </c>
      <c r="L360" t="s">
        <v>20</v>
      </c>
      <c r="M360" t="str">
        <f>VLOOKUP(Table1[[#This Row],[Job_Status]],$V$2:$W$4,2,FALSE)</f>
        <v>Defect</v>
      </c>
      <c r="N360" s="7">
        <f>VLOOKUP(Table1[[#This Row],[Job_Status]],$V$2:$X$4,3,FALSE)</f>
        <v>100</v>
      </c>
    </row>
    <row r="361" spans="1:14" x14ac:dyDescent="0.3">
      <c r="A361" t="s">
        <v>22</v>
      </c>
      <c r="B361" t="s">
        <v>15</v>
      </c>
      <c r="C361" s="5">
        <v>2.73</v>
      </c>
      <c r="D361" s="7">
        <v>90</v>
      </c>
      <c r="E361" s="6">
        <v>7.96</v>
      </c>
      <c r="F361">
        <v>91</v>
      </c>
      <c r="G361" s="3">
        <v>45005.819444444445</v>
      </c>
      <c r="H361" s="3">
        <v>45005.881944444445</v>
      </c>
      <c r="I361" s="3">
        <v>45005.818055555559</v>
      </c>
      <c r="J361" s="3">
        <v>45005.880555555559</v>
      </c>
      <c r="K361" t="s">
        <v>16</v>
      </c>
      <c r="L361" t="s">
        <v>20</v>
      </c>
      <c r="M361" t="str">
        <f>VLOOKUP(Table1[[#This Row],[Job_Status]],$V$2:$W$4,2,FALSE)</f>
        <v>Good</v>
      </c>
      <c r="N361" s="7">
        <f>VLOOKUP(Table1[[#This Row],[Job_Status]],$V$2:$X$4,3,FALSE)</f>
        <v>0</v>
      </c>
    </row>
    <row r="362" spans="1:14" x14ac:dyDescent="0.3">
      <c r="A362" t="s">
        <v>34</v>
      </c>
      <c r="B362" t="s">
        <v>23</v>
      </c>
      <c r="C362" s="5">
        <v>1.81</v>
      </c>
      <c r="D362" s="7">
        <v>29</v>
      </c>
      <c r="E362" s="6">
        <v>8</v>
      </c>
      <c r="F362">
        <v>97</v>
      </c>
      <c r="G362" s="3">
        <v>45005.826388888891</v>
      </c>
      <c r="H362" s="3">
        <v>45005.84652777778</v>
      </c>
      <c r="I362" s="3">
        <v>45005.829861111109</v>
      </c>
      <c r="J362" s="3">
        <v>45005.85</v>
      </c>
      <c r="K362" t="s">
        <v>16</v>
      </c>
      <c r="L362" t="s">
        <v>17</v>
      </c>
      <c r="M362" t="str">
        <f>VLOOKUP(Table1[[#This Row],[Job_Status]],$V$2:$W$4,2,FALSE)</f>
        <v>Good</v>
      </c>
      <c r="N362" s="7">
        <f>VLOOKUP(Table1[[#This Row],[Job_Status]],$V$2:$X$4,3,FALSE)</f>
        <v>0</v>
      </c>
    </row>
    <row r="363" spans="1:14" x14ac:dyDescent="0.3">
      <c r="A363" t="s">
        <v>34</v>
      </c>
      <c r="B363" t="s">
        <v>36</v>
      </c>
      <c r="C363" s="5">
        <v>4.3099999999999996</v>
      </c>
      <c r="D363" s="7">
        <v>83</v>
      </c>
      <c r="E363" s="6">
        <v>4.43</v>
      </c>
      <c r="F363">
        <v>85</v>
      </c>
      <c r="G363" s="3">
        <v>45005.833333333336</v>
      </c>
      <c r="H363" s="3">
        <v>45005.890972222223</v>
      </c>
      <c r="I363" s="3">
        <v>45005.830555555556</v>
      </c>
      <c r="J363" s="3">
        <v>45005.888194444444</v>
      </c>
      <c r="K363" t="s">
        <v>16</v>
      </c>
      <c r="L363" t="s">
        <v>20</v>
      </c>
      <c r="M363" t="str">
        <f>VLOOKUP(Table1[[#This Row],[Job_Status]],$V$2:$W$4,2,FALSE)</f>
        <v>Good</v>
      </c>
      <c r="N363" s="7">
        <f>VLOOKUP(Table1[[#This Row],[Job_Status]],$V$2:$X$4,3,FALSE)</f>
        <v>0</v>
      </c>
    </row>
    <row r="364" spans="1:14" x14ac:dyDescent="0.3">
      <c r="A364" t="s">
        <v>30</v>
      </c>
      <c r="B364" t="s">
        <v>36</v>
      </c>
      <c r="C364" s="5">
        <v>1.25</v>
      </c>
      <c r="D364" s="7">
        <v>50</v>
      </c>
      <c r="E364" s="6">
        <v>12.64</v>
      </c>
      <c r="F364">
        <v>83</v>
      </c>
      <c r="G364" s="3">
        <v>45005.840277777781</v>
      </c>
      <c r="H364" s="3">
        <v>45005.875</v>
      </c>
      <c r="I364" s="3">
        <v>45005.843055555553</v>
      </c>
      <c r="J364" s="3">
        <v>45005.87777777778</v>
      </c>
      <c r="K364" t="s">
        <v>16</v>
      </c>
      <c r="L364" t="s">
        <v>17</v>
      </c>
      <c r="M364" t="str">
        <f>VLOOKUP(Table1[[#This Row],[Job_Status]],$V$2:$W$4,2,FALSE)</f>
        <v>Good</v>
      </c>
      <c r="N364" s="7">
        <f>VLOOKUP(Table1[[#This Row],[Job_Status]],$V$2:$X$4,3,FALSE)</f>
        <v>0</v>
      </c>
    </row>
    <row r="365" spans="1:14" x14ac:dyDescent="0.3">
      <c r="A365" t="s">
        <v>22</v>
      </c>
      <c r="B365" t="s">
        <v>32</v>
      </c>
      <c r="C365" s="5">
        <v>4.13</v>
      </c>
      <c r="D365" s="7">
        <v>118</v>
      </c>
      <c r="E365" s="6">
        <v>3.21</v>
      </c>
      <c r="F365">
        <v>85</v>
      </c>
      <c r="G365" s="3">
        <v>45005.847222222219</v>
      </c>
      <c r="H365" s="3">
        <v>45005.929166666669</v>
      </c>
      <c r="I365" s="3">
        <v>45005.84375</v>
      </c>
      <c r="J365" s="3">
        <v>45005.925694444442</v>
      </c>
      <c r="K365" t="s">
        <v>16</v>
      </c>
      <c r="L365" t="s">
        <v>20</v>
      </c>
      <c r="M365" t="str">
        <f>VLOOKUP(Table1[[#This Row],[Job_Status]],$V$2:$W$4,2,FALSE)</f>
        <v>Good</v>
      </c>
      <c r="N365" s="7">
        <f>VLOOKUP(Table1[[#This Row],[Job_Status]],$V$2:$X$4,3,FALSE)</f>
        <v>0</v>
      </c>
    </row>
    <row r="366" spans="1:14" x14ac:dyDescent="0.3">
      <c r="A366" t="s">
        <v>34</v>
      </c>
      <c r="B366" t="s">
        <v>23</v>
      </c>
      <c r="C366" s="5">
        <v>2.57</v>
      </c>
      <c r="D366" s="7">
        <v>115</v>
      </c>
      <c r="E366" s="6">
        <v>6.41</v>
      </c>
      <c r="F366">
        <v>81</v>
      </c>
      <c r="G366" s="3">
        <v>45005.854166666664</v>
      </c>
      <c r="H366" s="3">
        <v>45005.934027777781</v>
      </c>
      <c r="I366" s="3">
        <v>45005.856249999997</v>
      </c>
      <c r="J366" s="3">
        <v>45005.936111111114</v>
      </c>
      <c r="K366" t="s">
        <v>16</v>
      </c>
      <c r="L366" t="s">
        <v>28</v>
      </c>
      <c r="M366" t="str">
        <f>VLOOKUP(Table1[[#This Row],[Job_Status]],$V$2:$W$4,2,FALSE)</f>
        <v>Good</v>
      </c>
      <c r="N366" s="7">
        <f>VLOOKUP(Table1[[#This Row],[Job_Status]],$V$2:$X$4,3,FALSE)</f>
        <v>0</v>
      </c>
    </row>
    <row r="367" spans="1:14" x14ac:dyDescent="0.3">
      <c r="A367" t="s">
        <v>34</v>
      </c>
      <c r="B367" t="s">
        <v>23</v>
      </c>
      <c r="C367" s="5">
        <v>4.3600000000000003</v>
      </c>
      <c r="D367" s="7">
        <v>106</v>
      </c>
      <c r="E367" s="6">
        <v>9.52</v>
      </c>
      <c r="F367">
        <v>94</v>
      </c>
      <c r="G367" s="3">
        <v>45005.861111111109</v>
      </c>
      <c r="H367" s="3">
        <v>45005.93472222222</v>
      </c>
      <c r="I367" s="3">
        <v>45005.859027777777</v>
      </c>
      <c r="J367" s="3">
        <v>45005.932638888888</v>
      </c>
      <c r="K367" t="s">
        <v>16</v>
      </c>
      <c r="L367" t="s">
        <v>20</v>
      </c>
      <c r="M367" t="str">
        <f>VLOOKUP(Table1[[#This Row],[Job_Status]],$V$2:$W$4,2,FALSE)</f>
        <v>Good</v>
      </c>
      <c r="N367" s="7">
        <f>VLOOKUP(Table1[[#This Row],[Job_Status]],$V$2:$X$4,3,FALSE)</f>
        <v>0</v>
      </c>
    </row>
    <row r="368" spans="1:14" x14ac:dyDescent="0.3">
      <c r="A368" t="s">
        <v>40</v>
      </c>
      <c r="B368" t="s">
        <v>36</v>
      </c>
      <c r="C368" s="5">
        <v>1.1499999999999999</v>
      </c>
      <c r="D368" s="7">
        <v>47</v>
      </c>
      <c r="E368" s="6">
        <v>12.4</v>
      </c>
      <c r="F368">
        <v>92</v>
      </c>
      <c r="G368" s="3">
        <v>45005.868055555555</v>
      </c>
      <c r="H368" s="3">
        <v>45005.900694444441</v>
      </c>
      <c r="I368" s="3">
        <v>45005.869444444441</v>
      </c>
      <c r="J368" s="3">
        <v>45005.902083333334</v>
      </c>
      <c r="K368" t="s">
        <v>16</v>
      </c>
      <c r="L368" t="s">
        <v>17</v>
      </c>
      <c r="M368" t="str">
        <f>VLOOKUP(Table1[[#This Row],[Job_Status]],$V$2:$W$4,2,FALSE)</f>
        <v>Good</v>
      </c>
      <c r="N368" s="7">
        <f>VLOOKUP(Table1[[#This Row],[Job_Status]],$V$2:$X$4,3,FALSE)</f>
        <v>0</v>
      </c>
    </row>
    <row r="369" spans="1:14" x14ac:dyDescent="0.3">
      <c r="A369" t="s">
        <v>34</v>
      </c>
      <c r="B369" t="s">
        <v>36</v>
      </c>
      <c r="C369" s="5">
        <v>3.64</v>
      </c>
      <c r="D369" s="7">
        <v>38</v>
      </c>
      <c r="E369" s="6">
        <v>12.38</v>
      </c>
      <c r="F369">
        <v>93</v>
      </c>
      <c r="G369" s="3">
        <v>45005.875</v>
      </c>
      <c r="H369" s="3">
        <v>45005.901388888888</v>
      </c>
      <c r="I369" s="3">
        <v>45005.876388888886</v>
      </c>
      <c r="J369" s="3">
        <v>45005.902777777781</v>
      </c>
      <c r="K369" t="s">
        <v>16</v>
      </c>
      <c r="L369" t="s">
        <v>17</v>
      </c>
      <c r="M369" t="str">
        <f>VLOOKUP(Table1[[#This Row],[Job_Status]],$V$2:$W$4,2,FALSE)</f>
        <v>Good</v>
      </c>
      <c r="N369" s="7">
        <f>VLOOKUP(Table1[[#This Row],[Job_Status]],$V$2:$X$4,3,FALSE)</f>
        <v>0</v>
      </c>
    </row>
    <row r="370" spans="1:14" x14ac:dyDescent="0.3">
      <c r="A370" t="s">
        <v>40</v>
      </c>
      <c r="B370" t="s">
        <v>15</v>
      </c>
      <c r="C370" s="5">
        <v>3.79</v>
      </c>
      <c r="D370" s="7">
        <v>63</v>
      </c>
      <c r="E370" s="6">
        <v>8.9600000000000009</v>
      </c>
      <c r="F370">
        <v>85</v>
      </c>
      <c r="G370" s="3">
        <v>45005.881944444445</v>
      </c>
      <c r="H370" s="3">
        <v>45005.925694444442</v>
      </c>
      <c r="I370" s="3">
        <v>45005.885416666664</v>
      </c>
      <c r="J370" s="3">
        <v>45005.929166666669</v>
      </c>
      <c r="K370" t="s">
        <v>16</v>
      </c>
      <c r="L370" t="s">
        <v>17</v>
      </c>
      <c r="M370" t="str">
        <f>VLOOKUP(Table1[[#This Row],[Job_Status]],$V$2:$W$4,2,FALSE)</f>
        <v>Good</v>
      </c>
      <c r="N370" s="7">
        <f>VLOOKUP(Table1[[#This Row],[Job_Status]],$V$2:$X$4,3,FALSE)</f>
        <v>0</v>
      </c>
    </row>
    <row r="371" spans="1:14" x14ac:dyDescent="0.3">
      <c r="A371" t="s">
        <v>22</v>
      </c>
      <c r="B371" t="s">
        <v>15</v>
      </c>
      <c r="C371" s="5">
        <v>1.6</v>
      </c>
      <c r="D371" s="7">
        <v>76</v>
      </c>
      <c r="E371" s="6">
        <v>5.98</v>
      </c>
      <c r="F371">
        <v>90</v>
      </c>
      <c r="G371" s="3">
        <v>45005.888888888891</v>
      </c>
      <c r="H371" s="3">
        <v>45005.941666666666</v>
      </c>
      <c r="I371" s="3">
        <v>45005.885416666664</v>
      </c>
      <c r="J371" s="3">
        <v>45005.938194444447</v>
      </c>
      <c r="K371" t="s">
        <v>16</v>
      </c>
      <c r="L371" t="s">
        <v>20</v>
      </c>
      <c r="M371" t="str">
        <f>VLOOKUP(Table1[[#This Row],[Job_Status]],$V$2:$W$4,2,FALSE)</f>
        <v>Good</v>
      </c>
      <c r="N371" s="7">
        <f>VLOOKUP(Table1[[#This Row],[Job_Status]],$V$2:$X$4,3,FALSE)</f>
        <v>0</v>
      </c>
    </row>
    <row r="372" spans="1:14" x14ac:dyDescent="0.3">
      <c r="A372" t="s">
        <v>22</v>
      </c>
      <c r="B372" t="s">
        <v>32</v>
      </c>
      <c r="C372" s="5">
        <v>4.43</v>
      </c>
      <c r="D372" s="7">
        <v>47</v>
      </c>
      <c r="E372" s="6">
        <v>14.26</v>
      </c>
      <c r="F372">
        <v>92</v>
      </c>
      <c r="G372" s="3">
        <v>45005.895833333336</v>
      </c>
      <c r="H372" s="3">
        <v>45005.928472222222</v>
      </c>
      <c r="K372" t="s">
        <v>24</v>
      </c>
      <c r="L372" t="s">
        <v>20</v>
      </c>
      <c r="M372" t="str">
        <f>VLOOKUP(Table1[[#This Row],[Job_Status]],$V$2:$W$4,2,FALSE)</f>
        <v>Defect</v>
      </c>
      <c r="N372" s="7">
        <f>VLOOKUP(Table1[[#This Row],[Job_Status]],$V$2:$X$4,3,FALSE)</f>
        <v>100</v>
      </c>
    </row>
    <row r="373" spans="1:14" x14ac:dyDescent="0.3">
      <c r="A373" t="s">
        <v>14</v>
      </c>
      <c r="B373" t="s">
        <v>27</v>
      </c>
      <c r="C373" s="5">
        <v>2.29</v>
      </c>
      <c r="D373" s="7">
        <v>32</v>
      </c>
      <c r="E373" s="6">
        <v>4.38</v>
      </c>
      <c r="F373">
        <v>88</v>
      </c>
      <c r="G373" s="3">
        <v>45005.902777777781</v>
      </c>
      <c r="H373" s="3">
        <v>45005.925000000003</v>
      </c>
      <c r="I373" s="3">
        <v>45005.902083333334</v>
      </c>
      <c r="J373" s="3">
        <v>45005.924305555556</v>
      </c>
      <c r="K373" t="s">
        <v>16</v>
      </c>
      <c r="L373" t="s">
        <v>20</v>
      </c>
      <c r="M373" t="str">
        <f>VLOOKUP(Table1[[#This Row],[Job_Status]],$V$2:$W$4,2,FALSE)</f>
        <v>Good</v>
      </c>
      <c r="N373" s="7">
        <f>VLOOKUP(Table1[[#This Row],[Job_Status]],$V$2:$X$4,3,FALSE)</f>
        <v>0</v>
      </c>
    </row>
    <row r="374" spans="1:14" x14ac:dyDescent="0.3">
      <c r="A374" t="s">
        <v>40</v>
      </c>
      <c r="B374" t="s">
        <v>27</v>
      </c>
      <c r="C374" s="5">
        <v>4.54</v>
      </c>
      <c r="D374" s="7">
        <v>78</v>
      </c>
      <c r="E374" s="6">
        <v>9.06</v>
      </c>
      <c r="F374">
        <v>82</v>
      </c>
      <c r="G374" s="3">
        <v>45005.909722222219</v>
      </c>
      <c r="H374" s="3">
        <v>45005.963888888888</v>
      </c>
      <c r="I374" s="3">
        <v>45005.92083333333</v>
      </c>
      <c r="J374" s="3">
        <v>45005.974999999999</v>
      </c>
      <c r="K374" t="s">
        <v>19</v>
      </c>
      <c r="L374" t="s">
        <v>20</v>
      </c>
      <c r="M374" t="str">
        <f>VLOOKUP(Table1[[#This Row],[Job_Status]],$V$2:$W$4,2,FALSE)</f>
        <v>Good</v>
      </c>
      <c r="N374" s="7">
        <f>VLOOKUP(Table1[[#This Row],[Job_Status]],$V$2:$X$4,3,FALSE)</f>
        <v>0</v>
      </c>
    </row>
    <row r="375" spans="1:14" x14ac:dyDescent="0.3">
      <c r="A375" t="s">
        <v>34</v>
      </c>
      <c r="B375" t="s">
        <v>15</v>
      </c>
      <c r="C375" s="5">
        <v>1.1000000000000001</v>
      </c>
      <c r="D375" s="7">
        <v>95</v>
      </c>
      <c r="E375" s="6">
        <v>4.05</v>
      </c>
      <c r="F375">
        <v>89</v>
      </c>
      <c r="G375" s="3">
        <v>45005.916666666664</v>
      </c>
      <c r="H375" s="3">
        <v>45005.982638888891</v>
      </c>
      <c r="I375" s="3">
        <v>45005.915972222225</v>
      </c>
      <c r="J375" s="3">
        <v>45005.981944444444</v>
      </c>
      <c r="K375" t="s">
        <v>16</v>
      </c>
      <c r="L375" t="s">
        <v>20</v>
      </c>
      <c r="M375" t="str">
        <f>VLOOKUP(Table1[[#This Row],[Job_Status]],$V$2:$W$4,2,FALSE)</f>
        <v>Good</v>
      </c>
      <c r="N375" s="7">
        <f>VLOOKUP(Table1[[#This Row],[Job_Status]],$V$2:$X$4,3,FALSE)</f>
        <v>0</v>
      </c>
    </row>
    <row r="376" spans="1:14" x14ac:dyDescent="0.3">
      <c r="A376" t="s">
        <v>30</v>
      </c>
      <c r="B376" t="s">
        <v>32</v>
      </c>
      <c r="C376" s="5">
        <v>3.88</v>
      </c>
      <c r="D376" s="7">
        <v>48</v>
      </c>
      <c r="E376" s="6">
        <v>7.49</v>
      </c>
      <c r="F376">
        <v>98</v>
      </c>
      <c r="G376" s="3">
        <v>45005.923611111109</v>
      </c>
      <c r="H376" s="3">
        <v>45005.956944444442</v>
      </c>
      <c r="I376" s="3">
        <v>45005.92291666667</v>
      </c>
      <c r="J376" s="3">
        <v>45005.956250000003</v>
      </c>
      <c r="K376" t="s">
        <v>16</v>
      </c>
      <c r="L376" t="s">
        <v>20</v>
      </c>
      <c r="M376" t="str">
        <f>VLOOKUP(Table1[[#This Row],[Job_Status]],$V$2:$W$4,2,FALSE)</f>
        <v>Good</v>
      </c>
      <c r="N376" s="7">
        <f>VLOOKUP(Table1[[#This Row],[Job_Status]],$V$2:$X$4,3,FALSE)</f>
        <v>0</v>
      </c>
    </row>
    <row r="377" spans="1:14" x14ac:dyDescent="0.3">
      <c r="A377" t="s">
        <v>34</v>
      </c>
      <c r="B377" t="s">
        <v>23</v>
      </c>
      <c r="C377" s="5">
        <v>1.59</v>
      </c>
      <c r="D377" s="7">
        <v>110</v>
      </c>
      <c r="E377" s="6">
        <v>12.16</v>
      </c>
      <c r="F377">
        <v>82</v>
      </c>
      <c r="G377" s="3">
        <v>45005.930555555555</v>
      </c>
      <c r="H377" s="3">
        <v>45006.006944444445</v>
      </c>
      <c r="K377" t="s">
        <v>24</v>
      </c>
      <c r="L377" t="s">
        <v>20</v>
      </c>
      <c r="M377" t="str">
        <f>VLOOKUP(Table1[[#This Row],[Job_Status]],$V$2:$W$4,2,FALSE)</f>
        <v>Defect</v>
      </c>
      <c r="N377" s="7">
        <f>VLOOKUP(Table1[[#This Row],[Job_Status]],$V$2:$X$4,3,FALSE)</f>
        <v>100</v>
      </c>
    </row>
    <row r="378" spans="1:14" x14ac:dyDescent="0.3">
      <c r="A378" t="s">
        <v>22</v>
      </c>
      <c r="B378" t="s">
        <v>36</v>
      </c>
      <c r="C378" s="5">
        <v>3.87</v>
      </c>
      <c r="D378" s="7">
        <v>52</v>
      </c>
      <c r="E378" s="6">
        <v>13.19</v>
      </c>
      <c r="F378">
        <v>88</v>
      </c>
      <c r="G378" s="3">
        <v>45005.9375</v>
      </c>
      <c r="H378" s="3">
        <v>45005.973611111112</v>
      </c>
      <c r="I378" s="3">
        <v>45005.934027777781</v>
      </c>
      <c r="J378" s="3">
        <v>45005.970138888886</v>
      </c>
      <c r="K378" t="s">
        <v>16</v>
      </c>
      <c r="L378" t="s">
        <v>20</v>
      </c>
      <c r="M378" t="str">
        <f>VLOOKUP(Table1[[#This Row],[Job_Status]],$V$2:$W$4,2,FALSE)</f>
        <v>Good</v>
      </c>
      <c r="N378" s="7">
        <f>VLOOKUP(Table1[[#This Row],[Job_Status]],$V$2:$X$4,3,FALSE)</f>
        <v>0</v>
      </c>
    </row>
    <row r="379" spans="1:14" x14ac:dyDescent="0.3">
      <c r="A379" t="s">
        <v>30</v>
      </c>
      <c r="B379" t="s">
        <v>32</v>
      </c>
      <c r="C379" s="5">
        <v>2.39</v>
      </c>
      <c r="D379" s="7">
        <v>61</v>
      </c>
      <c r="E379" s="6">
        <v>6.11</v>
      </c>
      <c r="F379">
        <v>94</v>
      </c>
      <c r="G379" s="3">
        <v>45005.944444444445</v>
      </c>
      <c r="H379" s="3">
        <v>45005.986805555556</v>
      </c>
      <c r="I379" s="3">
        <v>45005.946527777778</v>
      </c>
      <c r="J379" s="3">
        <v>45005.988888888889</v>
      </c>
      <c r="K379" t="s">
        <v>16</v>
      </c>
      <c r="L379" t="s">
        <v>28</v>
      </c>
      <c r="M379" t="str">
        <f>VLOOKUP(Table1[[#This Row],[Job_Status]],$V$2:$W$4,2,FALSE)</f>
        <v>Good</v>
      </c>
      <c r="N379" s="7">
        <f>VLOOKUP(Table1[[#This Row],[Job_Status]],$V$2:$X$4,3,FALSE)</f>
        <v>0</v>
      </c>
    </row>
    <row r="380" spans="1:14" x14ac:dyDescent="0.3">
      <c r="A380" t="s">
        <v>14</v>
      </c>
      <c r="B380" t="s">
        <v>15</v>
      </c>
      <c r="C380" s="5">
        <v>1.78</v>
      </c>
      <c r="D380" s="7">
        <v>63</v>
      </c>
      <c r="E380" s="6">
        <v>4.78</v>
      </c>
      <c r="F380">
        <v>97</v>
      </c>
      <c r="G380" s="3">
        <v>45005.951388888891</v>
      </c>
      <c r="H380" s="3">
        <v>45005.995138888888</v>
      </c>
      <c r="K380" t="s">
        <v>24</v>
      </c>
      <c r="L380" t="s">
        <v>20</v>
      </c>
      <c r="M380" t="str">
        <f>VLOOKUP(Table1[[#This Row],[Job_Status]],$V$2:$W$4,2,FALSE)</f>
        <v>Defect</v>
      </c>
      <c r="N380" s="7">
        <f>VLOOKUP(Table1[[#This Row],[Job_Status]],$V$2:$X$4,3,FALSE)</f>
        <v>100</v>
      </c>
    </row>
    <row r="381" spans="1:14" x14ac:dyDescent="0.3">
      <c r="A381" t="s">
        <v>14</v>
      </c>
      <c r="B381" t="s">
        <v>23</v>
      </c>
      <c r="C381" s="5">
        <v>4.05</v>
      </c>
      <c r="D381" s="7">
        <v>47</v>
      </c>
      <c r="E381" s="6">
        <v>5.13</v>
      </c>
      <c r="F381">
        <v>81</v>
      </c>
      <c r="G381" s="3">
        <v>45005.958333333336</v>
      </c>
      <c r="H381" s="3">
        <v>45005.990972222222</v>
      </c>
      <c r="I381" s="3">
        <v>45005.956250000003</v>
      </c>
      <c r="J381" s="3">
        <v>45005.988888888889</v>
      </c>
      <c r="K381" t="s">
        <v>16</v>
      </c>
      <c r="L381" t="s">
        <v>20</v>
      </c>
      <c r="M381" t="str">
        <f>VLOOKUP(Table1[[#This Row],[Job_Status]],$V$2:$W$4,2,FALSE)</f>
        <v>Good</v>
      </c>
      <c r="N381" s="7">
        <f>VLOOKUP(Table1[[#This Row],[Job_Status]],$V$2:$X$4,3,FALSE)</f>
        <v>0</v>
      </c>
    </row>
    <row r="382" spans="1:14" x14ac:dyDescent="0.3">
      <c r="A382" t="s">
        <v>30</v>
      </c>
      <c r="B382" t="s">
        <v>27</v>
      </c>
      <c r="C382" s="5">
        <v>3.25</v>
      </c>
      <c r="D382" s="7">
        <v>46</v>
      </c>
      <c r="E382" s="6">
        <v>4.7</v>
      </c>
      <c r="F382">
        <v>98</v>
      </c>
      <c r="G382" s="3">
        <v>45005.965277777781</v>
      </c>
      <c r="H382" s="3">
        <v>45005.99722222222</v>
      </c>
      <c r="I382" s="3">
        <v>45005.966666666667</v>
      </c>
      <c r="J382" s="3">
        <v>45005.998611111114</v>
      </c>
      <c r="K382" t="s">
        <v>16</v>
      </c>
      <c r="L382" t="s">
        <v>28</v>
      </c>
      <c r="M382" t="str">
        <f>VLOOKUP(Table1[[#This Row],[Job_Status]],$V$2:$W$4,2,FALSE)</f>
        <v>Good</v>
      </c>
      <c r="N382" s="7">
        <f>VLOOKUP(Table1[[#This Row],[Job_Status]],$V$2:$X$4,3,FALSE)</f>
        <v>0</v>
      </c>
    </row>
    <row r="383" spans="1:14" x14ac:dyDescent="0.3">
      <c r="A383" t="s">
        <v>14</v>
      </c>
      <c r="B383" t="s">
        <v>23</v>
      </c>
      <c r="C383" s="5">
        <v>1.33</v>
      </c>
      <c r="D383" s="7">
        <v>89</v>
      </c>
      <c r="E383" s="6">
        <v>7.85</v>
      </c>
      <c r="F383">
        <v>86</v>
      </c>
      <c r="G383" s="3">
        <v>45005.972222222219</v>
      </c>
      <c r="H383" s="3">
        <v>45006.03402777778</v>
      </c>
      <c r="I383" s="3">
        <v>45005.973611111112</v>
      </c>
      <c r="J383" s="3">
        <v>45006.035416666666</v>
      </c>
      <c r="K383" t="s">
        <v>16</v>
      </c>
      <c r="L383" t="s">
        <v>28</v>
      </c>
      <c r="M383" t="str">
        <f>VLOOKUP(Table1[[#This Row],[Job_Status]],$V$2:$W$4,2,FALSE)</f>
        <v>Good</v>
      </c>
      <c r="N383" s="7">
        <f>VLOOKUP(Table1[[#This Row],[Job_Status]],$V$2:$X$4,3,FALSE)</f>
        <v>0</v>
      </c>
    </row>
    <row r="384" spans="1:14" x14ac:dyDescent="0.3">
      <c r="A384" t="s">
        <v>22</v>
      </c>
      <c r="B384" t="s">
        <v>27</v>
      </c>
      <c r="C384" s="5">
        <v>3.53</v>
      </c>
      <c r="D384" s="7">
        <v>72</v>
      </c>
      <c r="E384" s="6">
        <v>14.49</v>
      </c>
      <c r="F384">
        <v>99</v>
      </c>
      <c r="G384" s="3">
        <v>45005.979166666664</v>
      </c>
      <c r="H384" s="3">
        <v>45006.029166666667</v>
      </c>
      <c r="I384" s="3">
        <v>45005.980555555558</v>
      </c>
      <c r="J384" s="3">
        <v>45006.030555555553</v>
      </c>
      <c r="K384" t="s">
        <v>16</v>
      </c>
      <c r="L384" t="s">
        <v>17</v>
      </c>
      <c r="M384" t="str">
        <f>VLOOKUP(Table1[[#This Row],[Job_Status]],$V$2:$W$4,2,FALSE)</f>
        <v>Good</v>
      </c>
      <c r="N384" s="7">
        <f>VLOOKUP(Table1[[#This Row],[Job_Status]],$V$2:$X$4,3,FALSE)</f>
        <v>0</v>
      </c>
    </row>
    <row r="385" spans="1:14" x14ac:dyDescent="0.3">
      <c r="A385" t="s">
        <v>14</v>
      </c>
      <c r="B385" t="s">
        <v>27</v>
      </c>
      <c r="C385" s="5">
        <v>1.0900000000000001</v>
      </c>
      <c r="D385" s="7">
        <v>65</v>
      </c>
      <c r="E385" s="6">
        <v>3.68</v>
      </c>
      <c r="F385">
        <v>81</v>
      </c>
      <c r="G385" s="3">
        <v>45005.986111111109</v>
      </c>
      <c r="H385" s="3">
        <v>45006.03125</v>
      </c>
      <c r="I385" s="3">
        <v>45006.000694444447</v>
      </c>
      <c r="J385" s="3">
        <v>45006.04583333333</v>
      </c>
      <c r="K385" t="s">
        <v>19</v>
      </c>
      <c r="L385" t="s">
        <v>20</v>
      </c>
      <c r="M385" t="str">
        <f>VLOOKUP(Table1[[#This Row],[Job_Status]],$V$2:$W$4,2,FALSE)</f>
        <v>Good</v>
      </c>
      <c r="N385" s="7">
        <f>VLOOKUP(Table1[[#This Row],[Job_Status]],$V$2:$X$4,3,FALSE)</f>
        <v>0</v>
      </c>
    </row>
    <row r="386" spans="1:14" x14ac:dyDescent="0.3">
      <c r="A386" t="s">
        <v>14</v>
      </c>
      <c r="B386" t="s">
        <v>15</v>
      </c>
      <c r="C386" s="5">
        <v>2.66</v>
      </c>
      <c r="D386" s="7">
        <v>50</v>
      </c>
      <c r="E386" s="6">
        <v>11.62</v>
      </c>
      <c r="F386">
        <v>91</v>
      </c>
      <c r="G386" s="3">
        <v>45005.993055555555</v>
      </c>
      <c r="H386" s="3">
        <v>45006.027777777781</v>
      </c>
      <c r="I386" s="3">
        <v>45005.992361111108</v>
      </c>
      <c r="J386" s="3">
        <v>45006.027083333334</v>
      </c>
      <c r="K386" t="s">
        <v>16</v>
      </c>
      <c r="L386" t="s">
        <v>20</v>
      </c>
      <c r="M386" t="str">
        <f>VLOOKUP(Table1[[#This Row],[Job_Status]],$V$2:$W$4,2,FALSE)</f>
        <v>Good</v>
      </c>
      <c r="N386" s="7">
        <f>VLOOKUP(Table1[[#This Row],[Job_Status]],$V$2:$X$4,3,FALSE)</f>
        <v>0</v>
      </c>
    </row>
    <row r="387" spans="1:14" x14ac:dyDescent="0.3">
      <c r="A387" t="s">
        <v>30</v>
      </c>
      <c r="B387" t="s">
        <v>32</v>
      </c>
      <c r="C387" s="5">
        <v>4.75</v>
      </c>
      <c r="D387" s="7">
        <v>59</v>
      </c>
      <c r="E387" s="6">
        <v>3.65</v>
      </c>
      <c r="F387">
        <v>80</v>
      </c>
      <c r="G387" s="3">
        <v>45006</v>
      </c>
      <c r="H387" s="3">
        <v>45006.040972222225</v>
      </c>
      <c r="I387" s="3">
        <v>45006</v>
      </c>
      <c r="J387" s="3">
        <v>45006.040972222225</v>
      </c>
      <c r="K387" t="s">
        <v>16</v>
      </c>
      <c r="L387" t="s">
        <v>28</v>
      </c>
      <c r="M387" t="str">
        <f>VLOOKUP(Table1[[#This Row],[Job_Status]],$V$2:$W$4,2,FALSE)</f>
        <v>Good</v>
      </c>
      <c r="N387" s="7">
        <f>VLOOKUP(Table1[[#This Row],[Job_Status]],$V$2:$X$4,3,FALSE)</f>
        <v>0</v>
      </c>
    </row>
    <row r="388" spans="1:14" x14ac:dyDescent="0.3">
      <c r="A388" t="s">
        <v>34</v>
      </c>
      <c r="B388" t="s">
        <v>15</v>
      </c>
      <c r="C388" s="5">
        <v>2.75</v>
      </c>
      <c r="D388" s="7">
        <v>73</v>
      </c>
      <c r="E388" s="6">
        <v>5.47</v>
      </c>
      <c r="F388">
        <v>87</v>
      </c>
      <c r="G388" s="3">
        <v>45006.006944444445</v>
      </c>
      <c r="H388" s="3">
        <v>45006.057638888888</v>
      </c>
      <c r="I388" s="3">
        <v>45006.009027777778</v>
      </c>
      <c r="J388" s="3">
        <v>45006.05972222222</v>
      </c>
      <c r="K388" t="s">
        <v>16</v>
      </c>
      <c r="L388" t="s">
        <v>28</v>
      </c>
      <c r="M388" t="str">
        <f>VLOOKUP(Table1[[#This Row],[Job_Status]],$V$2:$W$4,2,FALSE)</f>
        <v>Good</v>
      </c>
      <c r="N388" s="7">
        <f>VLOOKUP(Table1[[#This Row],[Job_Status]],$V$2:$X$4,3,FALSE)</f>
        <v>0</v>
      </c>
    </row>
    <row r="389" spans="1:14" x14ac:dyDescent="0.3">
      <c r="A389" t="s">
        <v>14</v>
      </c>
      <c r="B389" t="s">
        <v>15</v>
      </c>
      <c r="C389" s="5">
        <v>3.21</v>
      </c>
      <c r="D389" s="7">
        <v>42</v>
      </c>
      <c r="E389" s="6">
        <v>4.47</v>
      </c>
      <c r="F389">
        <v>99</v>
      </c>
      <c r="G389" s="3">
        <v>45006.013888888891</v>
      </c>
      <c r="H389" s="3">
        <v>45006.043055555558</v>
      </c>
      <c r="I389" s="3">
        <v>45006.011111111111</v>
      </c>
      <c r="J389" s="3">
        <v>45006.040277777778</v>
      </c>
      <c r="K389" t="s">
        <v>16</v>
      </c>
      <c r="L389" t="s">
        <v>20</v>
      </c>
      <c r="M389" t="str">
        <f>VLOOKUP(Table1[[#This Row],[Job_Status]],$V$2:$W$4,2,FALSE)</f>
        <v>Good</v>
      </c>
      <c r="N389" s="7">
        <f>VLOOKUP(Table1[[#This Row],[Job_Status]],$V$2:$X$4,3,FALSE)</f>
        <v>0</v>
      </c>
    </row>
    <row r="390" spans="1:14" x14ac:dyDescent="0.3">
      <c r="A390" t="s">
        <v>34</v>
      </c>
      <c r="B390" t="s">
        <v>32</v>
      </c>
      <c r="C390" s="5">
        <v>1.2</v>
      </c>
      <c r="D390" s="7">
        <v>24</v>
      </c>
      <c r="E390" s="6">
        <v>11.46</v>
      </c>
      <c r="F390">
        <v>97</v>
      </c>
      <c r="G390" s="3">
        <v>45006.020833333336</v>
      </c>
      <c r="H390" s="3">
        <v>45006.037499999999</v>
      </c>
      <c r="I390" s="3">
        <v>45006.019444444442</v>
      </c>
      <c r="J390" s="3">
        <v>45006.036111111112</v>
      </c>
      <c r="K390" t="s">
        <v>16</v>
      </c>
      <c r="L390" t="s">
        <v>20</v>
      </c>
      <c r="M390" t="str">
        <f>VLOOKUP(Table1[[#This Row],[Job_Status]],$V$2:$W$4,2,FALSE)</f>
        <v>Good</v>
      </c>
      <c r="N390" s="7">
        <f>VLOOKUP(Table1[[#This Row],[Job_Status]],$V$2:$X$4,3,FALSE)</f>
        <v>0</v>
      </c>
    </row>
    <row r="391" spans="1:14" x14ac:dyDescent="0.3">
      <c r="A391" t="s">
        <v>14</v>
      </c>
      <c r="B391" t="s">
        <v>23</v>
      </c>
      <c r="C391" s="5">
        <v>4.5599999999999996</v>
      </c>
      <c r="D391" s="7">
        <v>71</v>
      </c>
      <c r="E391" s="6">
        <v>9.02</v>
      </c>
      <c r="F391">
        <v>83</v>
      </c>
      <c r="G391" s="3">
        <v>45006.027777777781</v>
      </c>
      <c r="H391" s="3">
        <v>45006.07708333333</v>
      </c>
      <c r="I391" s="3">
        <v>45006.027777777781</v>
      </c>
      <c r="J391" s="3">
        <v>45006.07708333333</v>
      </c>
      <c r="K391" t="s">
        <v>16</v>
      </c>
      <c r="L391" t="s">
        <v>28</v>
      </c>
      <c r="M391" t="str">
        <f>VLOOKUP(Table1[[#This Row],[Job_Status]],$V$2:$W$4,2,FALSE)</f>
        <v>Good</v>
      </c>
      <c r="N391" s="7">
        <f>VLOOKUP(Table1[[#This Row],[Job_Status]],$V$2:$X$4,3,FALSE)</f>
        <v>0</v>
      </c>
    </row>
    <row r="392" spans="1:14" x14ac:dyDescent="0.3">
      <c r="A392" t="s">
        <v>22</v>
      </c>
      <c r="B392" t="s">
        <v>15</v>
      </c>
      <c r="C392" s="5">
        <v>3.63</v>
      </c>
      <c r="D392" s="7">
        <v>76</v>
      </c>
      <c r="E392" s="6">
        <v>11.35</v>
      </c>
      <c r="F392">
        <v>93</v>
      </c>
      <c r="G392" s="3">
        <v>45006.034722222219</v>
      </c>
      <c r="H392" s="3">
        <v>45006.087500000001</v>
      </c>
      <c r="I392" s="3">
        <v>45006.044444444444</v>
      </c>
      <c r="J392" s="3">
        <v>45006.097222222219</v>
      </c>
      <c r="K392" t="s">
        <v>19</v>
      </c>
      <c r="L392" t="s">
        <v>20</v>
      </c>
      <c r="M392" t="str">
        <f>VLOOKUP(Table1[[#This Row],[Job_Status]],$V$2:$W$4,2,FALSE)</f>
        <v>Good</v>
      </c>
      <c r="N392" s="7">
        <f>VLOOKUP(Table1[[#This Row],[Job_Status]],$V$2:$X$4,3,FALSE)</f>
        <v>0</v>
      </c>
    </row>
    <row r="393" spans="1:14" x14ac:dyDescent="0.3">
      <c r="A393" t="s">
        <v>40</v>
      </c>
      <c r="B393" t="s">
        <v>27</v>
      </c>
      <c r="C393" s="5">
        <v>2.59</v>
      </c>
      <c r="D393" s="7">
        <v>35</v>
      </c>
      <c r="E393" s="6">
        <v>4.83</v>
      </c>
      <c r="F393">
        <v>83</v>
      </c>
      <c r="G393" s="3">
        <v>45006.041666666664</v>
      </c>
      <c r="H393" s="3">
        <v>45006.065972222219</v>
      </c>
      <c r="I393" s="3">
        <v>45006.040277777778</v>
      </c>
      <c r="J393" s="3">
        <v>45006.064583333333</v>
      </c>
      <c r="K393" t="s">
        <v>16</v>
      </c>
      <c r="L393" t="s">
        <v>20</v>
      </c>
      <c r="M393" t="str">
        <f>VLOOKUP(Table1[[#This Row],[Job_Status]],$V$2:$W$4,2,FALSE)</f>
        <v>Good</v>
      </c>
      <c r="N393" s="7">
        <f>VLOOKUP(Table1[[#This Row],[Job_Status]],$V$2:$X$4,3,FALSE)</f>
        <v>0</v>
      </c>
    </row>
    <row r="394" spans="1:14" x14ac:dyDescent="0.3">
      <c r="A394" t="s">
        <v>14</v>
      </c>
      <c r="B394" t="s">
        <v>32</v>
      </c>
      <c r="C394" s="5">
        <v>2.92</v>
      </c>
      <c r="D394" s="7">
        <v>96</v>
      </c>
      <c r="E394" s="6">
        <v>10.86</v>
      </c>
      <c r="F394">
        <v>87</v>
      </c>
      <c r="G394" s="3">
        <v>45006.048611111109</v>
      </c>
      <c r="H394" s="3">
        <v>45006.115277777775</v>
      </c>
      <c r="I394" s="3">
        <v>45006.04583333333</v>
      </c>
      <c r="J394" s="3">
        <v>45006.112500000003</v>
      </c>
      <c r="K394" t="s">
        <v>16</v>
      </c>
      <c r="L394" t="s">
        <v>20</v>
      </c>
      <c r="M394" t="str">
        <f>VLOOKUP(Table1[[#This Row],[Job_Status]],$V$2:$W$4,2,FALSE)</f>
        <v>Good</v>
      </c>
      <c r="N394" s="7">
        <f>VLOOKUP(Table1[[#This Row],[Job_Status]],$V$2:$X$4,3,FALSE)</f>
        <v>0</v>
      </c>
    </row>
    <row r="395" spans="1:14" x14ac:dyDescent="0.3">
      <c r="A395" t="s">
        <v>14</v>
      </c>
      <c r="B395" t="s">
        <v>15</v>
      </c>
      <c r="C395" s="5">
        <v>2.96</v>
      </c>
      <c r="D395" s="7">
        <v>69</v>
      </c>
      <c r="E395" s="6">
        <v>2.09</v>
      </c>
      <c r="F395">
        <v>95</v>
      </c>
      <c r="G395" s="3">
        <v>45006.055555555555</v>
      </c>
      <c r="H395" s="3">
        <v>45006.103472222225</v>
      </c>
      <c r="I395" s="3">
        <v>45006.053472222222</v>
      </c>
      <c r="J395" s="3">
        <v>45006.101388888892</v>
      </c>
      <c r="K395" t="s">
        <v>16</v>
      </c>
      <c r="L395" t="s">
        <v>20</v>
      </c>
      <c r="M395" t="str">
        <f>VLOOKUP(Table1[[#This Row],[Job_Status]],$V$2:$W$4,2,FALSE)</f>
        <v>Good</v>
      </c>
      <c r="N395" s="7">
        <f>VLOOKUP(Table1[[#This Row],[Job_Status]],$V$2:$X$4,3,FALSE)</f>
        <v>0</v>
      </c>
    </row>
    <row r="396" spans="1:14" x14ac:dyDescent="0.3">
      <c r="A396" t="s">
        <v>30</v>
      </c>
      <c r="B396" t="s">
        <v>32</v>
      </c>
      <c r="C396" s="5">
        <v>2.5</v>
      </c>
      <c r="D396" s="7">
        <v>74</v>
      </c>
      <c r="E396" s="6">
        <v>10.7</v>
      </c>
      <c r="F396">
        <v>96</v>
      </c>
      <c r="G396" s="3">
        <v>45006.0625</v>
      </c>
      <c r="H396" s="3">
        <v>45006.113888888889</v>
      </c>
      <c r="I396" s="3">
        <v>45006.063888888886</v>
      </c>
      <c r="J396" s="3">
        <v>45006.115277777775</v>
      </c>
      <c r="K396" t="s">
        <v>16</v>
      </c>
      <c r="L396" t="s">
        <v>17</v>
      </c>
      <c r="M396" t="str">
        <f>VLOOKUP(Table1[[#This Row],[Job_Status]],$V$2:$W$4,2,FALSE)</f>
        <v>Good</v>
      </c>
      <c r="N396" s="7">
        <f>VLOOKUP(Table1[[#This Row],[Job_Status]],$V$2:$X$4,3,FALSE)</f>
        <v>0</v>
      </c>
    </row>
    <row r="397" spans="1:14" x14ac:dyDescent="0.3">
      <c r="A397" t="s">
        <v>40</v>
      </c>
      <c r="B397" t="s">
        <v>27</v>
      </c>
      <c r="C397" s="5">
        <v>2.89</v>
      </c>
      <c r="D397" s="7">
        <v>66</v>
      </c>
      <c r="E397" s="6">
        <v>13</v>
      </c>
      <c r="F397">
        <v>87</v>
      </c>
      <c r="G397" s="3">
        <v>45006.069444444445</v>
      </c>
      <c r="H397" s="3">
        <v>45006.115277777775</v>
      </c>
      <c r="I397" s="3">
        <v>45006.067361111112</v>
      </c>
      <c r="J397" s="3">
        <v>45006.113194444442</v>
      </c>
      <c r="K397" t="s">
        <v>16</v>
      </c>
      <c r="L397" t="s">
        <v>20</v>
      </c>
      <c r="M397" t="str">
        <f>VLOOKUP(Table1[[#This Row],[Job_Status]],$V$2:$W$4,2,FALSE)</f>
        <v>Good</v>
      </c>
      <c r="N397" s="7">
        <f>VLOOKUP(Table1[[#This Row],[Job_Status]],$V$2:$X$4,3,FALSE)</f>
        <v>0</v>
      </c>
    </row>
    <row r="398" spans="1:14" x14ac:dyDescent="0.3">
      <c r="A398" t="s">
        <v>30</v>
      </c>
      <c r="B398" t="s">
        <v>32</v>
      </c>
      <c r="C398" s="5">
        <v>1.98</v>
      </c>
      <c r="D398" s="7">
        <v>67</v>
      </c>
      <c r="E398" s="6">
        <v>6.88</v>
      </c>
      <c r="F398">
        <v>89</v>
      </c>
      <c r="G398" s="3">
        <v>45006.076388888891</v>
      </c>
      <c r="H398" s="3">
        <v>45006.122916666667</v>
      </c>
      <c r="I398" s="3">
        <v>45006.073611111111</v>
      </c>
      <c r="J398" s="3">
        <v>45006.120138888888</v>
      </c>
      <c r="K398" t="s">
        <v>16</v>
      </c>
      <c r="L398" t="s">
        <v>20</v>
      </c>
      <c r="M398" t="str">
        <f>VLOOKUP(Table1[[#This Row],[Job_Status]],$V$2:$W$4,2,FALSE)</f>
        <v>Good</v>
      </c>
      <c r="N398" s="7">
        <f>VLOOKUP(Table1[[#This Row],[Job_Status]],$V$2:$X$4,3,FALSE)</f>
        <v>0</v>
      </c>
    </row>
    <row r="399" spans="1:14" x14ac:dyDescent="0.3">
      <c r="A399" t="s">
        <v>34</v>
      </c>
      <c r="B399" t="s">
        <v>27</v>
      </c>
      <c r="C399" s="5">
        <v>4.28</v>
      </c>
      <c r="D399" s="7">
        <v>23</v>
      </c>
      <c r="E399" s="6">
        <v>8.52</v>
      </c>
      <c r="F399">
        <v>81</v>
      </c>
      <c r="G399" s="3">
        <v>45006.083333333336</v>
      </c>
      <c r="H399" s="3">
        <v>45006.099305555559</v>
      </c>
      <c r="K399" t="s">
        <v>24</v>
      </c>
      <c r="L399" t="s">
        <v>20</v>
      </c>
      <c r="M399" t="str">
        <f>VLOOKUP(Table1[[#This Row],[Job_Status]],$V$2:$W$4,2,FALSE)</f>
        <v>Defect</v>
      </c>
      <c r="N399" s="7">
        <f>VLOOKUP(Table1[[#This Row],[Job_Status]],$V$2:$X$4,3,FALSE)</f>
        <v>100</v>
      </c>
    </row>
    <row r="400" spans="1:14" x14ac:dyDescent="0.3">
      <c r="A400" t="s">
        <v>14</v>
      </c>
      <c r="B400" t="s">
        <v>15</v>
      </c>
      <c r="C400" s="5">
        <v>4.09</v>
      </c>
      <c r="D400" s="7">
        <v>82</v>
      </c>
      <c r="E400" s="6">
        <v>13.87</v>
      </c>
      <c r="F400">
        <v>86</v>
      </c>
      <c r="G400" s="3">
        <v>45006.090277777781</v>
      </c>
      <c r="H400" s="3">
        <v>45006.147222222222</v>
      </c>
      <c r="I400" s="3">
        <v>45006.089583333334</v>
      </c>
      <c r="J400" s="3">
        <v>45006.146527777775</v>
      </c>
      <c r="K400" t="s">
        <v>16</v>
      </c>
      <c r="L400" t="s">
        <v>20</v>
      </c>
      <c r="M400" t="str">
        <f>VLOOKUP(Table1[[#This Row],[Job_Status]],$V$2:$W$4,2,FALSE)</f>
        <v>Good</v>
      </c>
      <c r="N400" s="7">
        <f>VLOOKUP(Table1[[#This Row],[Job_Status]],$V$2:$X$4,3,FALSE)</f>
        <v>0</v>
      </c>
    </row>
    <row r="401" spans="1:14" x14ac:dyDescent="0.3">
      <c r="A401" t="s">
        <v>34</v>
      </c>
      <c r="B401" t="s">
        <v>23</v>
      </c>
      <c r="C401" s="5">
        <v>4.76</v>
      </c>
      <c r="D401" s="7">
        <v>80</v>
      </c>
      <c r="E401" s="6">
        <v>12.18</v>
      </c>
      <c r="F401">
        <v>91</v>
      </c>
      <c r="G401" s="3">
        <v>45006.097222222219</v>
      </c>
      <c r="H401" s="3">
        <v>45006.152777777781</v>
      </c>
      <c r="I401" s="3">
        <v>45006.09652777778</v>
      </c>
      <c r="J401" s="3">
        <v>45006.152083333334</v>
      </c>
      <c r="K401" t="s">
        <v>16</v>
      </c>
      <c r="L401" t="s">
        <v>20</v>
      </c>
      <c r="M401" t="str">
        <f>VLOOKUP(Table1[[#This Row],[Job_Status]],$V$2:$W$4,2,FALSE)</f>
        <v>Good</v>
      </c>
      <c r="N401" s="7">
        <f>VLOOKUP(Table1[[#This Row],[Job_Status]],$V$2:$X$4,3,FALSE)</f>
        <v>0</v>
      </c>
    </row>
    <row r="402" spans="1:14" x14ac:dyDescent="0.3">
      <c r="A402" t="s">
        <v>30</v>
      </c>
      <c r="B402" t="s">
        <v>15</v>
      </c>
      <c r="C402" s="5">
        <v>4.34</v>
      </c>
      <c r="D402" s="7">
        <v>24</v>
      </c>
      <c r="E402" s="6">
        <v>2.23</v>
      </c>
      <c r="F402">
        <v>95</v>
      </c>
      <c r="G402" s="3">
        <v>45006.104166666664</v>
      </c>
      <c r="H402" s="3">
        <v>45006.120833333334</v>
      </c>
      <c r="I402" s="3">
        <v>45006.125</v>
      </c>
      <c r="J402" s="3">
        <v>45006.14166666667</v>
      </c>
      <c r="K402" t="s">
        <v>19</v>
      </c>
      <c r="L402" t="s">
        <v>20</v>
      </c>
      <c r="M402" t="str">
        <f>VLOOKUP(Table1[[#This Row],[Job_Status]],$V$2:$W$4,2,FALSE)</f>
        <v>Good</v>
      </c>
      <c r="N402" s="7">
        <f>VLOOKUP(Table1[[#This Row],[Job_Status]],$V$2:$X$4,3,FALSE)</f>
        <v>0</v>
      </c>
    </row>
    <row r="403" spans="1:14" x14ac:dyDescent="0.3">
      <c r="A403" t="s">
        <v>22</v>
      </c>
      <c r="B403" t="s">
        <v>15</v>
      </c>
      <c r="C403" s="5">
        <v>4.2699999999999996</v>
      </c>
      <c r="D403" s="7">
        <v>49</v>
      </c>
      <c r="E403" s="6">
        <v>8.1</v>
      </c>
      <c r="F403">
        <v>96</v>
      </c>
      <c r="G403" s="3">
        <v>45006.111111111109</v>
      </c>
      <c r="H403" s="3">
        <v>45006.145138888889</v>
      </c>
      <c r="K403" t="s">
        <v>24</v>
      </c>
      <c r="L403" t="s">
        <v>20</v>
      </c>
      <c r="M403" t="str">
        <f>VLOOKUP(Table1[[#This Row],[Job_Status]],$V$2:$W$4,2,FALSE)</f>
        <v>Defect</v>
      </c>
      <c r="N403" s="7">
        <f>VLOOKUP(Table1[[#This Row],[Job_Status]],$V$2:$X$4,3,FALSE)</f>
        <v>100</v>
      </c>
    </row>
    <row r="404" spans="1:14" x14ac:dyDescent="0.3">
      <c r="A404" t="s">
        <v>22</v>
      </c>
      <c r="B404" t="s">
        <v>32</v>
      </c>
      <c r="C404" s="5">
        <v>2.94</v>
      </c>
      <c r="D404" s="7">
        <v>113</v>
      </c>
      <c r="E404" s="6">
        <v>10.78</v>
      </c>
      <c r="F404">
        <v>94</v>
      </c>
      <c r="G404" s="3">
        <v>45006.118055555555</v>
      </c>
      <c r="H404" s="3">
        <v>45006.196527777778</v>
      </c>
      <c r="I404" s="3">
        <v>45006.116666666669</v>
      </c>
      <c r="J404" s="3">
        <v>45006.195138888892</v>
      </c>
      <c r="K404" t="s">
        <v>16</v>
      </c>
      <c r="L404" t="s">
        <v>20</v>
      </c>
      <c r="M404" t="str">
        <f>VLOOKUP(Table1[[#This Row],[Job_Status]],$V$2:$W$4,2,FALSE)</f>
        <v>Good</v>
      </c>
      <c r="N404" s="7">
        <f>VLOOKUP(Table1[[#This Row],[Job_Status]],$V$2:$X$4,3,FALSE)</f>
        <v>0</v>
      </c>
    </row>
    <row r="405" spans="1:14" x14ac:dyDescent="0.3">
      <c r="A405" t="s">
        <v>34</v>
      </c>
      <c r="B405" t="s">
        <v>15</v>
      </c>
      <c r="C405" s="5">
        <v>2.0699999999999998</v>
      </c>
      <c r="D405" s="7">
        <v>113</v>
      </c>
      <c r="E405" s="6">
        <v>11.6</v>
      </c>
      <c r="F405">
        <v>96</v>
      </c>
      <c r="G405" s="3">
        <v>45006.125</v>
      </c>
      <c r="H405" s="3">
        <v>45006.203472222223</v>
      </c>
      <c r="I405" s="3">
        <v>45006.126388888886</v>
      </c>
      <c r="J405" s="3">
        <v>45006.204861111109</v>
      </c>
      <c r="K405" t="s">
        <v>16</v>
      </c>
      <c r="L405" t="s">
        <v>17</v>
      </c>
      <c r="M405" t="str">
        <f>VLOOKUP(Table1[[#This Row],[Job_Status]],$V$2:$W$4,2,FALSE)</f>
        <v>Good</v>
      </c>
      <c r="N405" s="7">
        <f>VLOOKUP(Table1[[#This Row],[Job_Status]],$V$2:$X$4,3,FALSE)</f>
        <v>0</v>
      </c>
    </row>
    <row r="406" spans="1:14" x14ac:dyDescent="0.3">
      <c r="A406" t="s">
        <v>14</v>
      </c>
      <c r="B406" t="s">
        <v>32</v>
      </c>
      <c r="C406" s="5">
        <v>1.1599999999999999</v>
      </c>
      <c r="D406" s="7">
        <v>89</v>
      </c>
      <c r="E406" s="6">
        <v>11.11</v>
      </c>
      <c r="F406">
        <v>96</v>
      </c>
      <c r="G406" s="3">
        <v>45006.131944444445</v>
      </c>
      <c r="H406" s="3">
        <v>45006.193749999999</v>
      </c>
      <c r="I406" s="3">
        <v>45006.14166666667</v>
      </c>
      <c r="J406" s="3">
        <v>45006.203472222223</v>
      </c>
      <c r="K406" t="s">
        <v>19</v>
      </c>
      <c r="L406" t="s">
        <v>20</v>
      </c>
      <c r="M406" t="str">
        <f>VLOOKUP(Table1[[#This Row],[Job_Status]],$V$2:$W$4,2,FALSE)</f>
        <v>Good</v>
      </c>
      <c r="N406" s="7">
        <f>VLOOKUP(Table1[[#This Row],[Job_Status]],$V$2:$X$4,3,FALSE)</f>
        <v>0</v>
      </c>
    </row>
    <row r="407" spans="1:14" x14ac:dyDescent="0.3">
      <c r="A407" t="s">
        <v>40</v>
      </c>
      <c r="B407" t="s">
        <v>36</v>
      </c>
      <c r="C407" s="5">
        <v>3.04</v>
      </c>
      <c r="D407" s="7">
        <v>100</v>
      </c>
      <c r="E407" s="6">
        <v>8.0500000000000007</v>
      </c>
      <c r="F407">
        <v>88</v>
      </c>
      <c r="G407" s="3">
        <v>45006.138888888891</v>
      </c>
      <c r="H407" s="3">
        <v>45006.208333333336</v>
      </c>
      <c r="I407" s="3">
        <v>45006.14166666667</v>
      </c>
      <c r="J407" s="3">
        <v>45006.211111111108</v>
      </c>
      <c r="K407" t="s">
        <v>16</v>
      </c>
      <c r="L407" t="s">
        <v>17</v>
      </c>
      <c r="M407" t="str">
        <f>VLOOKUP(Table1[[#This Row],[Job_Status]],$V$2:$W$4,2,FALSE)</f>
        <v>Good</v>
      </c>
      <c r="N407" s="7">
        <f>VLOOKUP(Table1[[#This Row],[Job_Status]],$V$2:$X$4,3,FALSE)</f>
        <v>0</v>
      </c>
    </row>
    <row r="408" spans="1:14" x14ac:dyDescent="0.3">
      <c r="A408" t="s">
        <v>30</v>
      </c>
      <c r="B408" t="s">
        <v>36</v>
      </c>
      <c r="C408" s="5">
        <v>1.32</v>
      </c>
      <c r="D408" s="7">
        <v>87</v>
      </c>
      <c r="E408" s="6">
        <v>3.5</v>
      </c>
      <c r="F408">
        <v>83</v>
      </c>
      <c r="G408" s="3">
        <v>45006.145833333336</v>
      </c>
      <c r="H408" s="3">
        <v>45006.206250000003</v>
      </c>
      <c r="I408" s="3">
        <v>45006.145833333336</v>
      </c>
      <c r="J408" s="3">
        <v>45006.206250000003</v>
      </c>
      <c r="K408" t="s">
        <v>16</v>
      </c>
      <c r="L408" t="s">
        <v>28</v>
      </c>
      <c r="M408" t="str">
        <f>VLOOKUP(Table1[[#This Row],[Job_Status]],$V$2:$W$4,2,FALSE)</f>
        <v>Good</v>
      </c>
      <c r="N408" s="7">
        <f>VLOOKUP(Table1[[#This Row],[Job_Status]],$V$2:$X$4,3,FALSE)</f>
        <v>0</v>
      </c>
    </row>
    <row r="409" spans="1:14" x14ac:dyDescent="0.3">
      <c r="A409" t="s">
        <v>30</v>
      </c>
      <c r="B409" t="s">
        <v>36</v>
      </c>
      <c r="C409" s="5">
        <v>4.92</v>
      </c>
      <c r="D409" s="7">
        <v>120</v>
      </c>
      <c r="E409" s="6">
        <v>11.91</v>
      </c>
      <c r="F409">
        <v>90</v>
      </c>
      <c r="G409" s="3">
        <v>45006.152777777781</v>
      </c>
      <c r="H409" s="3">
        <v>45006.236111111109</v>
      </c>
      <c r="I409" s="3">
        <v>45006.17083333333</v>
      </c>
      <c r="J409" s="3">
        <v>45006.254166666666</v>
      </c>
      <c r="K409" t="s">
        <v>19</v>
      </c>
      <c r="L409" t="s">
        <v>20</v>
      </c>
      <c r="M409" t="str">
        <f>VLOOKUP(Table1[[#This Row],[Job_Status]],$V$2:$W$4,2,FALSE)</f>
        <v>Good</v>
      </c>
      <c r="N409" s="7">
        <f>VLOOKUP(Table1[[#This Row],[Job_Status]],$V$2:$X$4,3,FALSE)</f>
        <v>0</v>
      </c>
    </row>
    <row r="410" spans="1:14" x14ac:dyDescent="0.3">
      <c r="A410" t="s">
        <v>40</v>
      </c>
      <c r="B410" t="s">
        <v>36</v>
      </c>
      <c r="C410" s="5">
        <v>1.42</v>
      </c>
      <c r="D410" s="7">
        <v>54</v>
      </c>
      <c r="E410" s="6">
        <v>7.62</v>
      </c>
      <c r="F410">
        <v>88</v>
      </c>
      <c r="G410" s="3">
        <v>45006.159722222219</v>
      </c>
      <c r="H410" s="3">
        <v>45006.197222222225</v>
      </c>
      <c r="I410" s="3">
        <v>45006.161111111112</v>
      </c>
      <c r="J410" s="3">
        <v>45006.198611111111</v>
      </c>
      <c r="K410" t="s">
        <v>16</v>
      </c>
      <c r="L410" t="s">
        <v>28</v>
      </c>
      <c r="M410" t="str">
        <f>VLOOKUP(Table1[[#This Row],[Job_Status]],$V$2:$W$4,2,FALSE)</f>
        <v>Good</v>
      </c>
      <c r="N410" s="7">
        <f>VLOOKUP(Table1[[#This Row],[Job_Status]],$V$2:$X$4,3,FALSE)</f>
        <v>0</v>
      </c>
    </row>
    <row r="411" spans="1:14" x14ac:dyDescent="0.3">
      <c r="A411" t="s">
        <v>34</v>
      </c>
      <c r="B411" t="s">
        <v>15</v>
      </c>
      <c r="C411" s="5">
        <v>2.94</v>
      </c>
      <c r="D411" s="7">
        <v>31</v>
      </c>
      <c r="E411" s="6">
        <v>12.64</v>
      </c>
      <c r="F411">
        <v>84</v>
      </c>
      <c r="G411" s="3">
        <v>45006.166666666664</v>
      </c>
      <c r="H411" s="3">
        <v>45006.188194444447</v>
      </c>
      <c r="I411" s="3">
        <v>45006.176388888889</v>
      </c>
      <c r="J411" s="3">
        <v>45006.197916666664</v>
      </c>
      <c r="K411" t="s">
        <v>19</v>
      </c>
      <c r="L411" t="s">
        <v>20</v>
      </c>
      <c r="M411" t="str">
        <f>VLOOKUP(Table1[[#This Row],[Job_Status]],$V$2:$W$4,2,FALSE)</f>
        <v>Good</v>
      </c>
      <c r="N411" s="7">
        <f>VLOOKUP(Table1[[#This Row],[Job_Status]],$V$2:$X$4,3,FALSE)</f>
        <v>0</v>
      </c>
    </row>
    <row r="412" spans="1:14" x14ac:dyDescent="0.3">
      <c r="A412" t="s">
        <v>34</v>
      </c>
      <c r="B412" t="s">
        <v>32</v>
      </c>
      <c r="C412" s="5">
        <v>3.4</v>
      </c>
      <c r="D412" s="7">
        <v>93</v>
      </c>
      <c r="E412" s="6">
        <v>2.77</v>
      </c>
      <c r="F412">
        <v>91</v>
      </c>
      <c r="G412" s="3">
        <v>45006.173611111109</v>
      </c>
      <c r="H412" s="3">
        <v>45006.238194444442</v>
      </c>
      <c r="I412" s="3">
        <v>45006.176388888889</v>
      </c>
      <c r="J412" s="3">
        <v>45006.240972222222</v>
      </c>
      <c r="K412" t="s">
        <v>16</v>
      </c>
      <c r="L412" t="s">
        <v>28</v>
      </c>
      <c r="M412" t="str">
        <f>VLOOKUP(Table1[[#This Row],[Job_Status]],$V$2:$W$4,2,FALSE)</f>
        <v>Good</v>
      </c>
      <c r="N412" s="7">
        <f>VLOOKUP(Table1[[#This Row],[Job_Status]],$V$2:$X$4,3,FALSE)</f>
        <v>0</v>
      </c>
    </row>
    <row r="413" spans="1:14" x14ac:dyDescent="0.3">
      <c r="A413" t="s">
        <v>40</v>
      </c>
      <c r="B413" t="s">
        <v>15</v>
      </c>
      <c r="C413" s="5">
        <v>2.37</v>
      </c>
      <c r="D413" s="7">
        <v>96</v>
      </c>
      <c r="E413" s="6">
        <v>12.16</v>
      </c>
      <c r="F413">
        <v>91</v>
      </c>
      <c r="G413" s="3">
        <v>45006.180555555555</v>
      </c>
      <c r="H413" s="3">
        <v>45006.24722222222</v>
      </c>
      <c r="I413" s="3">
        <v>45006.197222222225</v>
      </c>
      <c r="J413" s="3">
        <v>45006.263888888891</v>
      </c>
      <c r="K413" t="s">
        <v>19</v>
      </c>
      <c r="L413" t="s">
        <v>20</v>
      </c>
      <c r="M413" t="str">
        <f>VLOOKUP(Table1[[#This Row],[Job_Status]],$V$2:$W$4,2,FALSE)</f>
        <v>Good</v>
      </c>
      <c r="N413" s="7">
        <f>VLOOKUP(Table1[[#This Row],[Job_Status]],$V$2:$X$4,3,FALSE)</f>
        <v>0</v>
      </c>
    </row>
    <row r="414" spans="1:14" x14ac:dyDescent="0.3">
      <c r="A414" t="s">
        <v>14</v>
      </c>
      <c r="B414" t="s">
        <v>27</v>
      </c>
      <c r="C414" s="5">
        <v>4.53</v>
      </c>
      <c r="D414" s="7">
        <v>46</v>
      </c>
      <c r="E414" s="6">
        <v>2.94</v>
      </c>
      <c r="F414">
        <v>83</v>
      </c>
      <c r="G414" s="3">
        <v>45006.1875</v>
      </c>
      <c r="H414" s="3">
        <v>45006.219444444447</v>
      </c>
      <c r="I414" s="3">
        <v>45006.199305555558</v>
      </c>
      <c r="J414" s="3">
        <v>45006.231249999997</v>
      </c>
      <c r="K414" t="s">
        <v>19</v>
      </c>
      <c r="L414" t="s">
        <v>20</v>
      </c>
      <c r="M414" t="str">
        <f>VLOOKUP(Table1[[#This Row],[Job_Status]],$V$2:$W$4,2,FALSE)</f>
        <v>Good</v>
      </c>
      <c r="N414" s="7">
        <f>VLOOKUP(Table1[[#This Row],[Job_Status]],$V$2:$X$4,3,FALSE)</f>
        <v>0</v>
      </c>
    </row>
    <row r="415" spans="1:14" x14ac:dyDescent="0.3">
      <c r="A415" t="s">
        <v>22</v>
      </c>
      <c r="B415" t="s">
        <v>15</v>
      </c>
      <c r="C415" s="5">
        <v>1.53</v>
      </c>
      <c r="D415" s="7">
        <v>22</v>
      </c>
      <c r="E415" s="6">
        <v>4.2300000000000004</v>
      </c>
      <c r="F415">
        <v>98</v>
      </c>
      <c r="G415" s="3">
        <v>45006.194444444445</v>
      </c>
      <c r="H415" s="3">
        <v>45006.209722222222</v>
      </c>
      <c r="I415" s="3">
        <v>45006.193749999999</v>
      </c>
      <c r="J415" s="3">
        <v>45006.209027777775</v>
      </c>
      <c r="K415" t="s">
        <v>16</v>
      </c>
      <c r="L415" t="s">
        <v>20</v>
      </c>
      <c r="M415" t="str">
        <f>VLOOKUP(Table1[[#This Row],[Job_Status]],$V$2:$W$4,2,FALSE)</f>
        <v>Good</v>
      </c>
      <c r="N415" s="7">
        <f>VLOOKUP(Table1[[#This Row],[Job_Status]],$V$2:$X$4,3,FALSE)</f>
        <v>0</v>
      </c>
    </row>
    <row r="416" spans="1:14" x14ac:dyDescent="0.3">
      <c r="A416" t="s">
        <v>40</v>
      </c>
      <c r="B416" t="s">
        <v>15</v>
      </c>
      <c r="C416" s="5">
        <v>3.26</v>
      </c>
      <c r="D416" s="7">
        <v>31</v>
      </c>
      <c r="E416" s="6">
        <v>2.08</v>
      </c>
      <c r="F416">
        <v>90</v>
      </c>
      <c r="G416" s="3">
        <v>45006.201388888891</v>
      </c>
      <c r="H416" s="3">
        <v>45006.222916666666</v>
      </c>
      <c r="I416" s="3">
        <v>45006.210416666669</v>
      </c>
      <c r="J416" s="3">
        <v>45006.231944444444</v>
      </c>
      <c r="K416" t="s">
        <v>19</v>
      </c>
      <c r="L416" t="s">
        <v>20</v>
      </c>
      <c r="M416" t="str">
        <f>VLOOKUP(Table1[[#This Row],[Job_Status]],$V$2:$W$4,2,FALSE)</f>
        <v>Good</v>
      </c>
      <c r="N416" s="7">
        <f>VLOOKUP(Table1[[#This Row],[Job_Status]],$V$2:$X$4,3,FALSE)</f>
        <v>0</v>
      </c>
    </row>
    <row r="417" spans="1:14" x14ac:dyDescent="0.3">
      <c r="A417" t="s">
        <v>30</v>
      </c>
      <c r="B417" t="s">
        <v>27</v>
      </c>
      <c r="C417" s="5">
        <v>1.1499999999999999</v>
      </c>
      <c r="D417" s="7">
        <v>33</v>
      </c>
      <c r="E417" s="6">
        <v>7.35</v>
      </c>
      <c r="F417">
        <v>92</v>
      </c>
      <c r="G417" s="3">
        <v>45006.208333333336</v>
      </c>
      <c r="H417" s="3">
        <v>45006.231249999997</v>
      </c>
      <c r="I417" s="3">
        <v>45006.225694444445</v>
      </c>
      <c r="J417" s="3">
        <v>45006.248611111114</v>
      </c>
      <c r="K417" t="s">
        <v>19</v>
      </c>
      <c r="L417" t="s">
        <v>20</v>
      </c>
      <c r="M417" t="str">
        <f>VLOOKUP(Table1[[#This Row],[Job_Status]],$V$2:$W$4,2,FALSE)</f>
        <v>Good</v>
      </c>
      <c r="N417" s="7">
        <f>VLOOKUP(Table1[[#This Row],[Job_Status]],$V$2:$X$4,3,FALSE)</f>
        <v>0</v>
      </c>
    </row>
    <row r="418" spans="1:14" x14ac:dyDescent="0.3">
      <c r="A418" t="s">
        <v>14</v>
      </c>
      <c r="B418" t="s">
        <v>23</v>
      </c>
      <c r="C418" s="5">
        <v>3.38</v>
      </c>
      <c r="D418" s="7">
        <v>107</v>
      </c>
      <c r="E418" s="6">
        <v>11.97</v>
      </c>
      <c r="F418">
        <v>97</v>
      </c>
      <c r="G418" s="3">
        <v>45006.215277777781</v>
      </c>
      <c r="H418" s="3">
        <v>45006.289583333331</v>
      </c>
      <c r="I418" s="3">
        <v>45006.211805555555</v>
      </c>
      <c r="J418" s="3">
        <v>45006.286111111112</v>
      </c>
      <c r="K418" t="s">
        <v>16</v>
      </c>
      <c r="L418" t="s">
        <v>20</v>
      </c>
      <c r="M418" t="str">
        <f>VLOOKUP(Table1[[#This Row],[Job_Status]],$V$2:$W$4,2,FALSE)</f>
        <v>Good</v>
      </c>
      <c r="N418" s="7">
        <f>VLOOKUP(Table1[[#This Row],[Job_Status]],$V$2:$X$4,3,FALSE)</f>
        <v>0</v>
      </c>
    </row>
    <row r="419" spans="1:14" x14ac:dyDescent="0.3">
      <c r="A419" t="s">
        <v>14</v>
      </c>
      <c r="B419" t="s">
        <v>36</v>
      </c>
      <c r="C419" s="5">
        <v>4.9800000000000004</v>
      </c>
      <c r="D419" s="7">
        <v>50</v>
      </c>
      <c r="E419" s="6">
        <v>6.94</v>
      </c>
      <c r="F419">
        <v>91</v>
      </c>
      <c r="G419" s="3">
        <v>45006.222222222219</v>
      </c>
      <c r="H419" s="3">
        <v>45006.256944444445</v>
      </c>
      <c r="K419" t="s">
        <v>24</v>
      </c>
      <c r="L419" t="s">
        <v>20</v>
      </c>
      <c r="M419" t="str">
        <f>VLOOKUP(Table1[[#This Row],[Job_Status]],$V$2:$W$4,2,FALSE)</f>
        <v>Defect</v>
      </c>
      <c r="N419" s="7">
        <f>VLOOKUP(Table1[[#This Row],[Job_Status]],$V$2:$X$4,3,FALSE)</f>
        <v>100</v>
      </c>
    </row>
    <row r="420" spans="1:14" x14ac:dyDescent="0.3">
      <c r="A420" t="s">
        <v>22</v>
      </c>
      <c r="B420" t="s">
        <v>15</v>
      </c>
      <c r="C420" s="5">
        <v>1.35</v>
      </c>
      <c r="D420" s="7">
        <v>40</v>
      </c>
      <c r="E420" s="6">
        <v>8.17</v>
      </c>
      <c r="F420">
        <v>86</v>
      </c>
      <c r="G420" s="3">
        <v>45006.229166666664</v>
      </c>
      <c r="H420" s="3">
        <v>45006.256944444445</v>
      </c>
      <c r="I420" s="3">
        <v>45006.230555555558</v>
      </c>
      <c r="J420" s="3">
        <v>45006.258333333331</v>
      </c>
      <c r="K420" t="s">
        <v>16</v>
      </c>
      <c r="L420" t="s">
        <v>28</v>
      </c>
      <c r="M420" t="str">
        <f>VLOOKUP(Table1[[#This Row],[Job_Status]],$V$2:$W$4,2,FALSE)</f>
        <v>Good</v>
      </c>
      <c r="N420" s="7">
        <f>VLOOKUP(Table1[[#This Row],[Job_Status]],$V$2:$X$4,3,FALSE)</f>
        <v>0</v>
      </c>
    </row>
    <row r="421" spans="1:14" x14ac:dyDescent="0.3">
      <c r="A421" t="s">
        <v>34</v>
      </c>
      <c r="B421" t="s">
        <v>27</v>
      </c>
      <c r="C421" s="5">
        <v>1.3</v>
      </c>
      <c r="D421" s="7">
        <v>43</v>
      </c>
      <c r="E421" s="6">
        <v>13.53</v>
      </c>
      <c r="F421">
        <v>80</v>
      </c>
      <c r="G421" s="3">
        <v>45006.236111111109</v>
      </c>
      <c r="H421" s="3">
        <v>45006.265972222223</v>
      </c>
      <c r="I421" s="3">
        <v>45006.238194444442</v>
      </c>
      <c r="J421" s="3">
        <v>45006.268055555556</v>
      </c>
      <c r="K421" t="s">
        <v>16</v>
      </c>
      <c r="L421" t="s">
        <v>17</v>
      </c>
      <c r="M421" t="str">
        <f>VLOOKUP(Table1[[#This Row],[Job_Status]],$V$2:$W$4,2,FALSE)</f>
        <v>Good</v>
      </c>
      <c r="N421" s="7">
        <f>VLOOKUP(Table1[[#This Row],[Job_Status]],$V$2:$X$4,3,FALSE)</f>
        <v>0</v>
      </c>
    </row>
    <row r="422" spans="1:14" x14ac:dyDescent="0.3">
      <c r="A422" t="s">
        <v>30</v>
      </c>
      <c r="B422" t="s">
        <v>23</v>
      </c>
      <c r="C422" s="5">
        <v>3.69</v>
      </c>
      <c r="D422" s="7">
        <v>115</v>
      </c>
      <c r="E422" s="6">
        <v>12.24</v>
      </c>
      <c r="F422">
        <v>85</v>
      </c>
      <c r="G422" s="3">
        <v>45006.243055555555</v>
      </c>
      <c r="H422" s="3">
        <v>45006.322916666664</v>
      </c>
      <c r="I422" s="3">
        <v>45006.240972222222</v>
      </c>
      <c r="J422" s="3">
        <v>45006.320833333331</v>
      </c>
      <c r="K422" t="s">
        <v>16</v>
      </c>
      <c r="L422" t="s">
        <v>20</v>
      </c>
      <c r="M422" t="str">
        <f>VLOOKUP(Table1[[#This Row],[Job_Status]],$V$2:$W$4,2,FALSE)</f>
        <v>Good</v>
      </c>
      <c r="N422" s="7">
        <f>VLOOKUP(Table1[[#This Row],[Job_Status]],$V$2:$X$4,3,FALSE)</f>
        <v>0</v>
      </c>
    </row>
    <row r="423" spans="1:14" x14ac:dyDescent="0.3">
      <c r="A423" t="s">
        <v>30</v>
      </c>
      <c r="B423" t="s">
        <v>32</v>
      </c>
      <c r="C423" s="5">
        <v>4.3</v>
      </c>
      <c r="D423" s="7">
        <v>96</v>
      </c>
      <c r="E423" s="6">
        <v>9.69</v>
      </c>
      <c r="F423">
        <v>82</v>
      </c>
      <c r="G423" s="3">
        <v>45006.25</v>
      </c>
      <c r="H423" s="3">
        <v>45006.316666666666</v>
      </c>
      <c r="I423" s="3">
        <v>45006.24722222222</v>
      </c>
      <c r="J423" s="3">
        <v>45006.313888888886</v>
      </c>
      <c r="K423" t="s">
        <v>16</v>
      </c>
      <c r="L423" t="s">
        <v>20</v>
      </c>
      <c r="M423" t="str">
        <f>VLOOKUP(Table1[[#This Row],[Job_Status]],$V$2:$W$4,2,FALSE)</f>
        <v>Good</v>
      </c>
      <c r="N423" s="7">
        <f>VLOOKUP(Table1[[#This Row],[Job_Status]],$V$2:$X$4,3,FALSE)</f>
        <v>0</v>
      </c>
    </row>
    <row r="424" spans="1:14" x14ac:dyDescent="0.3">
      <c r="A424" t="s">
        <v>14</v>
      </c>
      <c r="B424" t="s">
        <v>23</v>
      </c>
      <c r="C424" s="5">
        <v>1.49</v>
      </c>
      <c r="D424" s="7">
        <v>119</v>
      </c>
      <c r="E424" s="6">
        <v>6.31</v>
      </c>
      <c r="F424">
        <v>87</v>
      </c>
      <c r="G424" s="3">
        <v>45006.256944444445</v>
      </c>
      <c r="H424" s="3">
        <v>45006.339583333334</v>
      </c>
      <c r="I424" s="3">
        <v>45006.255555555559</v>
      </c>
      <c r="J424" s="3">
        <v>45006.338194444441</v>
      </c>
      <c r="K424" t="s">
        <v>16</v>
      </c>
      <c r="L424" t="s">
        <v>20</v>
      </c>
      <c r="M424" t="str">
        <f>VLOOKUP(Table1[[#This Row],[Job_Status]],$V$2:$W$4,2,FALSE)</f>
        <v>Good</v>
      </c>
      <c r="N424" s="7">
        <f>VLOOKUP(Table1[[#This Row],[Job_Status]],$V$2:$X$4,3,FALSE)</f>
        <v>0</v>
      </c>
    </row>
    <row r="425" spans="1:14" x14ac:dyDescent="0.3">
      <c r="A425" t="s">
        <v>34</v>
      </c>
      <c r="B425" t="s">
        <v>15</v>
      </c>
      <c r="C425" s="5">
        <v>3.04</v>
      </c>
      <c r="D425" s="7">
        <v>105</v>
      </c>
      <c r="E425" s="6">
        <v>12.92</v>
      </c>
      <c r="F425">
        <v>89</v>
      </c>
      <c r="G425" s="3">
        <v>45006.263888888891</v>
      </c>
      <c r="H425" s="3">
        <v>45006.336805555555</v>
      </c>
      <c r="I425" s="3">
        <v>45006.274305555555</v>
      </c>
      <c r="J425" s="3">
        <v>45006.347222222219</v>
      </c>
      <c r="K425" t="s">
        <v>19</v>
      </c>
      <c r="L425" t="s">
        <v>20</v>
      </c>
      <c r="M425" t="str">
        <f>VLOOKUP(Table1[[#This Row],[Job_Status]],$V$2:$W$4,2,FALSE)</f>
        <v>Good</v>
      </c>
      <c r="N425" s="7">
        <f>VLOOKUP(Table1[[#This Row],[Job_Status]],$V$2:$X$4,3,FALSE)</f>
        <v>0</v>
      </c>
    </row>
    <row r="426" spans="1:14" x14ac:dyDescent="0.3">
      <c r="A426" t="s">
        <v>14</v>
      </c>
      <c r="B426" t="s">
        <v>32</v>
      </c>
      <c r="C426" s="5">
        <v>1.35</v>
      </c>
      <c r="D426" s="7">
        <v>64</v>
      </c>
      <c r="E426" s="6">
        <v>8.93</v>
      </c>
      <c r="F426">
        <v>86</v>
      </c>
      <c r="G426" s="3">
        <v>45006.270833333336</v>
      </c>
      <c r="H426" s="3">
        <v>45006.31527777778</v>
      </c>
      <c r="K426" t="s">
        <v>24</v>
      </c>
      <c r="L426" t="s">
        <v>20</v>
      </c>
      <c r="M426" t="str">
        <f>VLOOKUP(Table1[[#This Row],[Job_Status]],$V$2:$W$4,2,FALSE)</f>
        <v>Defect</v>
      </c>
      <c r="N426" s="7">
        <f>VLOOKUP(Table1[[#This Row],[Job_Status]],$V$2:$X$4,3,FALSE)</f>
        <v>100</v>
      </c>
    </row>
    <row r="427" spans="1:14" x14ac:dyDescent="0.3">
      <c r="A427" t="s">
        <v>30</v>
      </c>
      <c r="B427" t="s">
        <v>36</v>
      </c>
      <c r="C427" s="5">
        <v>4.96</v>
      </c>
      <c r="D427" s="7">
        <v>110</v>
      </c>
      <c r="E427" s="6">
        <v>10.48</v>
      </c>
      <c r="F427">
        <v>91</v>
      </c>
      <c r="G427" s="3">
        <v>45006.277777777781</v>
      </c>
      <c r="H427" s="3">
        <v>45006.354166666664</v>
      </c>
      <c r="I427" s="3">
        <v>45006.290277777778</v>
      </c>
      <c r="J427" s="3">
        <v>45006.366666666669</v>
      </c>
      <c r="K427" t="s">
        <v>19</v>
      </c>
      <c r="L427" t="s">
        <v>20</v>
      </c>
      <c r="M427" t="str">
        <f>VLOOKUP(Table1[[#This Row],[Job_Status]],$V$2:$W$4,2,FALSE)</f>
        <v>Good</v>
      </c>
      <c r="N427" s="7">
        <f>VLOOKUP(Table1[[#This Row],[Job_Status]],$V$2:$X$4,3,FALSE)</f>
        <v>0</v>
      </c>
    </row>
    <row r="428" spans="1:14" x14ac:dyDescent="0.3">
      <c r="A428" t="s">
        <v>34</v>
      </c>
      <c r="B428" t="s">
        <v>32</v>
      </c>
      <c r="C428" s="5">
        <v>4.0199999999999996</v>
      </c>
      <c r="D428" s="7">
        <v>74</v>
      </c>
      <c r="E428" s="6">
        <v>7.11</v>
      </c>
      <c r="F428">
        <v>92</v>
      </c>
      <c r="G428" s="3">
        <v>45006.284722222219</v>
      </c>
      <c r="H428" s="3">
        <v>45006.336111111108</v>
      </c>
      <c r="I428" s="3">
        <v>45006.303472222222</v>
      </c>
      <c r="J428" s="3">
        <v>45006.354861111111</v>
      </c>
      <c r="K428" t="s">
        <v>19</v>
      </c>
      <c r="L428" t="s">
        <v>20</v>
      </c>
      <c r="M428" t="str">
        <f>VLOOKUP(Table1[[#This Row],[Job_Status]],$V$2:$W$4,2,FALSE)</f>
        <v>Good</v>
      </c>
      <c r="N428" s="7">
        <f>VLOOKUP(Table1[[#This Row],[Job_Status]],$V$2:$X$4,3,FALSE)</f>
        <v>0</v>
      </c>
    </row>
    <row r="429" spans="1:14" x14ac:dyDescent="0.3">
      <c r="A429" t="s">
        <v>34</v>
      </c>
      <c r="B429" t="s">
        <v>32</v>
      </c>
      <c r="C429" s="5">
        <v>3.79</v>
      </c>
      <c r="D429" s="7">
        <v>64</v>
      </c>
      <c r="E429" s="6">
        <v>10.25</v>
      </c>
      <c r="F429">
        <v>98</v>
      </c>
      <c r="G429" s="3">
        <v>45006.291666666664</v>
      </c>
      <c r="H429" s="3">
        <v>45006.336111111108</v>
      </c>
      <c r="I429" s="3">
        <v>45006.288888888892</v>
      </c>
      <c r="J429" s="3">
        <v>45006.333333333336</v>
      </c>
      <c r="K429" t="s">
        <v>16</v>
      </c>
      <c r="L429" t="s">
        <v>20</v>
      </c>
      <c r="M429" t="str">
        <f>VLOOKUP(Table1[[#This Row],[Job_Status]],$V$2:$W$4,2,FALSE)</f>
        <v>Good</v>
      </c>
      <c r="N429" s="7">
        <f>VLOOKUP(Table1[[#This Row],[Job_Status]],$V$2:$X$4,3,FALSE)</f>
        <v>0</v>
      </c>
    </row>
    <row r="430" spans="1:14" x14ac:dyDescent="0.3">
      <c r="A430" t="s">
        <v>34</v>
      </c>
      <c r="B430" t="s">
        <v>32</v>
      </c>
      <c r="C430" s="5">
        <v>3.22</v>
      </c>
      <c r="D430" s="7">
        <v>37</v>
      </c>
      <c r="E430" s="6">
        <v>11.13</v>
      </c>
      <c r="F430">
        <v>88</v>
      </c>
      <c r="G430" s="3">
        <v>45006.298611111109</v>
      </c>
      <c r="H430" s="3">
        <v>45006.324305555558</v>
      </c>
      <c r="I430" s="3">
        <v>45006.29791666667</v>
      </c>
      <c r="J430" s="3">
        <v>45006.323611111111</v>
      </c>
      <c r="K430" t="s">
        <v>16</v>
      </c>
      <c r="L430" t="s">
        <v>20</v>
      </c>
      <c r="M430" t="str">
        <f>VLOOKUP(Table1[[#This Row],[Job_Status]],$V$2:$W$4,2,FALSE)</f>
        <v>Good</v>
      </c>
      <c r="N430" s="7">
        <f>VLOOKUP(Table1[[#This Row],[Job_Status]],$V$2:$X$4,3,FALSE)</f>
        <v>0</v>
      </c>
    </row>
    <row r="431" spans="1:14" x14ac:dyDescent="0.3">
      <c r="A431" t="s">
        <v>14</v>
      </c>
      <c r="B431" t="s">
        <v>36</v>
      </c>
      <c r="C431" s="5">
        <v>4.3600000000000003</v>
      </c>
      <c r="D431" s="7">
        <v>60</v>
      </c>
      <c r="E431" s="6">
        <v>13.16</v>
      </c>
      <c r="F431">
        <v>89</v>
      </c>
      <c r="G431" s="3">
        <v>45006.305555555555</v>
      </c>
      <c r="H431" s="3">
        <v>45006.347222222219</v>
      </c>
      <c r="I431" s="3">
        <v>45006.304861111108</v>
      </c>
      <c r="J431" s="3">
        <v>45006.34652777778</v>
      </c>
      <c r="K431" t="s">
        <v>16</v>
      </c>
      <c r="L431" t="s">
        <v>20</v>
      </c>
      <c r="M431" t="str">
        <f>VLOOKUP(Table1[[#This Row],[Job_Status]],$V$2:$W$4,2,FALSE)</f>
        <v>Good</v>
      </c>
      <c r="N431" s="7">
        <f>VLOOKUP(Table1[[#This Row],[Job_Status]],$V$2:$X$4,3,FALSE)</f>
        <v>0</v>
      </c>
    </row>
    <row r="432" spans="1:14" x14ac:dyDescent="0.3">
      <c r="A432" t="s">
        <v>34</v>
      </c>
      <c r="B432" t="s">
        <v>27</v>
      </c>
      <c r="C432" s="5">
        <v>3.39</v>
      </c>
      <c r="D432" s="7">
        <v>44</v>
      </c>
      <c r="E432" s="6">
        <v>12.69</v>
      </c>
      <c r="F432">
        <v>85</v>
      </c>
      <c r="G432" s="3">
        <v>45006.3125</v>
      </c>
      <c r="H432" s="3">
        <v>45006.343055555553</v>
      </c>
      <c r="I432" s="3">
        <v>45006.313194444447</v>
      </c>
      <c r="J432" s="3">
        <v>45006.34375</v>
      </c>
      <c r="K432" t="s">
        <v>16</v>
      </c>
      <c r="L432" t="s">
        <v>17</v>
      </c>
      <c r="M432" t="str">
        <f>VLOOKUP(Table1[[#This Row],[Job_Status]],$V$2:$W$4,2,FALSE)</f>
        <v>Good</v>
      </c>
      <c r="N432" s="7">
        <f>VLOOKUP(Table1[[#This Row],[Job_Status]],$V$2:$X$4,3,FALSE)</f>
        <v>0</v>
      </c>
    </row>
    <row r="433" spans="1:14" x14ac:dyDescent="0.3">
      <c r="A433" t="s">
        <v>14</v>
      </c>
      <c r="B433" t="s">
        <v>15</v>
      </c>
      <c r="C433" s="5">
        <v>2.09</v>
      </c>
      <c r="D433" s="7">
        <v>48</v>
      </c>
      <c r="E433" s="6">
        <v>2.15</v>
      </c>
      <c r="F433">
        <v>82</v>
      </c>
      <c r="G433" s="3">
        <v>45006.319444444445</v>
      </c>
      <c r="H433" s="3">
        <v>45006.352777777778</v>
      </c>
      <c r="I433" s="3">
        <v>45006.318749999999</v>
      </c>
      <c r="J433" s="3">
        <v>45006.352083333331</v>
      </c>
      <c r="K433" t="s">
        <v>16</v>
      </c>
      <c r="L433" t="s">
        <v>20</v>
      </c>
      <c r="M433" t="str">
        <f>VLOOKUP(Table1[[#This Row],[Job_Status]],$V$2:$W$4,2,FALSE)</f>
        <v>Good</v>
      </c>
      <c r="N433" s="7">
        <f>VLOOKUP(Table1[[#This Row],[Job_Status]],$V$2:$X$4,3,FALSE)</f>
        <v>0</v>
      </c>
    </row>
    <row r="434" spans="1:14" x14ac:dyDescent="0.3">
      <c r="A434" t="s">
        <v>40</v>
      </c>
      <c r="B434" t="s">
        <v>27</v>
      </c>
      <c r="C434" s="5">
        <v>3.14</v>
      </c>
      <c r="D434" s="7">
        <v>105</v>
      </c>
      <c r="E434" s="6">
        <v>12.39</v>
      </c>
      <c r="F434">
        <v>96</v>
      </c>
      <c r="G434" s="3">
        <v>45006.326388888891</v>
      </c>
      <c r="H434" s="3">
        <v>45006.399305555555</v>
      </c>
      <c r="I434" s="3">
        <v>45006.335416666669</v>
      </c>
      <c r="J434" s="3">
        <v>45006.408333333333</v>
      </c>
      <c r="K434" t="s">
        <v>19</v>
      </c>
      <c r="L434" t="s">
        <v>20</v>
      </c>
      <c r="M434" t="str">
        <f>VLOOKUP(Table1[[#This Row],[Job_Status]],$V$2:$W$4,2,FALSE)</f>
        <v>Good</v>
      </c>
      <c r="N434" s="7">
        <f>VLOOKUP(Table1[[#This Row],[Job_Status]],$V$2:$X$4,3,FALSE)</f>
        <v>0</v>
      </c>
    </row>
    <row r="435" spans="1:14" x14ac:dyDescent="0.3">
      <c r="A435" t="s">
        <v>22</v>
      </c>
      <c r="B435" t="s">
        <v>32</v>
      </c>
      <c r="C435" s="5">
        <v>1.52</v>
      </c>
      <c r="D435" s="7">
        <v>46</v>
      </c>
      <c r="E435" s="6">
        <v>9.5399999999999991</v>
      </c>
      <c r="F435">
        <v>89</v>
      </c>
      <c r="G435" s="3">
        <v>45006.333333333336</v>
      </c>
      <c r="H435" s="3">
        <v>45006.365277777775</v>
      </c>
      <c r="I435" s="3">
        <v>45006.330555555556</v>
      </c>
      <c r="J435" s="3">
        <v>45006.362500000003</v>
      </c>
      <c r="K435" t="s">
        <v>16</v>
      </c>
      <c r="L435" t="s">
        <v>20</v>
      </c>
      <c r="M435" t="str">
        <f>VLOOKUP(Table1[[#This Row],[Job_Status]],$V$2:$W$4,2,FALSE)</f>
        <v>Good</v>
      </c>
      <c r="N435" s="7">
        <f>VLOOKUP(Table1[[#This Row],[Job_Status]],$V$2:$X$4,3,FALSE)</f>
        <v>0</v>
      </c>
    </row>
    <row r="436" spans="1:14" x14ac:dyDescent="0.3">
      <c r="A436" t="s">
        <v>34</v>
      </c>
      <c r="B436" t="s">
        <v>15</v>
      </c>
      <c r="C436" s="5">
        <v>3.21</v>
      </c>
      <c r="D436" s="7">
        <v>87</v>
      </c>
      <c r="E436" s="6">
        <v>14.22</v>
      </c>
      <c r="F436">
        <v>80</v>
      </c>
      <c r="G436" s="3">
        <v>45006.340277777781</v>
      </c>
      <c r="H436" s="3">
        <v>45006.400694444441</v>
      </c>
      <c r="I436" s="3">
        <v>45006.342361111114</v>
      </c>
      <c r="J436" s="3">
        <v>45006.402777777781</v>
      </c>
      <c r="K436" t="s">
        <v>16</v>
      </c>
      <c r="L436" t="s">
        <v>17</v>
      </c>
      <c r="M436" t="str">
        <f>VLOOKUP(Table1[[#This Row],[Job_Status]],$V$2:$W$4,2,FALSE)</f>
        <v>Good</v>
      </c>
      <c r="N436" s="7">
        <f>VLOOKUP(Table1[[#This Row],[Job_Status]],$V$2:$X$4,3,FALSE)</f>
        <v>0</v>
      </c>
    </row>
    <row r="437" spans="1:14" x14ac:dyDescent="0.3">
      <c r="A437" t="s">
        <v>30</v>
      </c>
      <c r="B437" t="s">
        <v>15</v>
      </c>
      <c r="C437" s="5">
        <v>4.42</v>
      </c>
      <c r="D437" s="7">
        <v>51</v>
      </c>
      <c r="E437" s="6">
        <v>4.84</v>
      </c>
      <c r="F437">
        <v>80</v>
      </c>
      <c r="G437" s="3">
        <v>45006.347222222219</v>
      </c>
      <c r="H437" s="3">
        <v>45006.382638888892</v>
      </c>
      <c r="I437" s="3">
        <v>45006.350694444445</v>
      </c>
      <c r="J437" s="3">
        <v>45006.386111111111</v>
      </c>
      <c r="K437" t="s">
        <v>16</v>
      </c>
      <c r="L437" t="s">
        <v>28</v>
      </c>
      <c r="M437" t="str">
        <f>VLOOKUP(Table1[[#This Row],[Job_Status]],$V$2:$W$4,2,FALSE)</f>
        <v>Good</v>
      </c>
      <c r="N437" s="7">
        <f>VLOOKUP(Table1[[#This Row],[Job_Status]],$V$2:$X$4,3,FALSE)</f>
        <v>0</v>
      </c>
    </row>
    <row r="438" spans="1:14" x14ac:dyDescent="0.3">
      <c r="A438" t="s">
        <v>22</v>
      </c>
      <c r="B438" t="s">
        <v>36</v>
      </c>
      <c r="C438" s="5">
        <v>3.55</v>
      </c>
      <c r="D438" s="7">
        <v>59</v>
      </c>
      <c r="E438" s="6">
        <v>3.27</v>
      </c>
      <c r="F438">
        <v>98</v>
      </c>
      <c r="G438" s="3">
        <v>45006.354166666664</v>
      </c>
      <c r="H438" s="3">
        <v>45006.395138888889</v>
      </c>
      <c r="I438" s="3">
        <v>45006.367361111108</v>
      </c>
      <c r="J438" s="3">
        <v>45006.408333333333</v>
      </c>
      <c r="K438" t="s">
        <v>19</v>
      </c>
      <c r="L438" t="s">
        <v>20</v>
      </c>
      <c r="M438" t="str">
        <f>VLOOKUP(Table1[[#This Row],[Job_Status]],$V$2:$W$4,2,FALSE)</f>
        <v>Good</v>
      </c>
      <c r="N438" s="7">
        <f>VLOOKUP(Table1[[#This Row],[Job_Status]],$V$2:$X$4,3,FALSE)</f>
        <v>0</v>
      </c>
    </row>
    <row r="439" spans="1:14" x14ac:dyDescent="0.3">
      <c r="A439" t="s">
        <v>34</v>
      </c>
      <c r="B439" t="s">
        <v>23</v>
      </c>
      <c r="C439" s="5">
        <v>4.5999999999999996</v>
      </c>
      <c r="D439" s="7">
        <v>57</v>
      </c>
      <c r="E439" s="6">
        <v>11.57</v>
      </c>
      <c r="F439">
        <v>88</v>
      </c>
      <c r="G439" s="3">
        <v>45006.361111111109</v>
      </c>
      <c r="H439" s="3">
        <v>45006.400694444441</v>
      </c>
      <c r="I439" s="3">
        <v>45006.36041666667</v>
      </c>
      <c r="J439" s="3">
        <v>45006.400000000001</v>
      </c>
      <c r="K439" t="s">
        <v>16</v>
      </c>
      <c r="L439" t="s">
        <v>20</v>
      </c>
      <c r="M439" t="str">
        <f>VLOOKUP(Table1[[#This Row],[Job_Status]],$V$2:$W$4,2,FALSE)</f>
        <v>Good</v>
      </c>
      <c r="N439" s="7">
        <f>VLOOKUP(Table1[[#This Row],[Job_Status]],$V$2:$X$4,3,FALSE)</f>
        <v>0</v>
      </c>
    </row>
    <row r="440" spans="1:14" x14ac:dyDescent="0.3">
      <c r="A440" t="s">
        <v>22</v>
      </c>
      <c r="B440" t="s">
        <v>36</v>
      </c>
      <c r="C440" s="5">
        <v>4.5999999999999996</v>
      </c>
      <c r="D440" s="7">
        <v>109</v>
      </c>
      <c r="E440" s="6">
        <v>14.03</v>
      </c>
      <c r="F440">
        <v>83</v>
      </c>
      <c r="G440" s="3">
        <v>45006.368055555555</v>
      </c>
      <c r="H440" s="3">
        <v>45006.443749999999</v>
      </c>
      <c r="I440" s="3">
        <v>45006.386111111111</v>
      </c>
      <c r="J440" s="3">
        <v>45006.461805555555</v>
      </c>
      <c r="K440" t="s">
        <v>19</v>
      </c>
      <c r="L440" t="s">
        <v>20</v>
      </c>
      <c r="M440" t="str">
        <f>VLOOKUP(Table1[[#This Row],[Job_Status]],$V$2:$W$4,2,FALSE)</f>
        <v>Good</v>
      </c>
      <c r="N440" s="7">
        <f>VLOOKUP(Table1[[#This Row],[Job_Status]],$V$2:$X$4,3,FALSE)</f>
        <v>0</v>
      </c>
    </row>
    <row r="441" spans="1:14" x14ac:dyDescent="0.3">
      <c r="A441" t="s">
        <v>30</v>
      </c>
      <c r="B441" t="s">
        <v>36</v>
      </c>
      <c r="C441" s="5">
        <v>3.4</v>
      </c>
      <c r="D441" s="7">
        <v>115</v>
      </c>
      <c r="E441" s="6">
        <v>7.11</v>
      </c>
      <c r="F441">
        <v>97</v>
      </c>
      <c r="G441" s="3">
        <v>45006.375</v>
      </c>
      <c r="H441" s="3">
        <v>45006.454861111109</v>
      </c>
      <c r="I441" s="3">
        <v>45006.395833333336</v>
      </c>
      <c r="J441" s="3">
        <v>45006.475694444445</v>
      </c>
      <c r="K441" t="s">
        <v>19</v>
      </c>
      <c r="L441" t="s">
        <v>20</v>
      </c>
      <c r="M441" t="str">
        <f>VLOOKUP(Table1[[#This Row],[Job_Status]],$V$2:$W$4,2,FALSE)</f>
        <v>Good</v>
      </c>
      <c r="N441" s="7">
        <f>VLOOKUP(Table1[[#This Row],[Job_Status]],$V$2:$X$4,3,FALSE)</f>
        <v>0</v>
      </c>
    </row>
    <row r="442" spans="1:14" x14ac:dyDescent="0.3">
      <c r="A442" t="s">
        <v>22</v>
      </c>
      <c r="B442" t="s">
        <v>27</v>
      </c>
      <c r="C442" s="5">
        <v>3.57</v>
      </c>
      <c r="D442" s="7">
        <v>98</v>
      </c>
      <c r="E442" s="6">
        <v>2.65</v>
      </c>
      <c r="F442">
        <v>80</v>
      </c>
      <c r="G442" s="3">
        <v>45006.381944444445</v>
      </c>
      <c r="H442" s="3">
        <v>45006.45</v>
      </c>
      <c r="I442" s="3">
        <v>45006.384722222225</v>
      </c>
      <c r="J442" s="3">
        <v>45006.452777777777</v>
      </c>
      <c r="K442" t="s">
        <v>16</v>
      </c>
      <c r="L442" t="s">
        <v>28</v>
      </c>
      <c r="M442" t="str">
        <f>VLOOKUP(Table1[[#This Row],[Job_Status]],$V$2:$W$4,2,FALSE)</f>
        <v>Good</v>
      </c>
      <c r="N442" s="7">
        <f>VLOOKUP(Table1[[#This Row],[Job_Status]],$V$2:$X$4,3,FALSE)</f>
        <v>0</v>
      </c>
    </row>
    <row r="443" spans="1:14" x14ac:dyDescent="0.3">
      <c r="A443" t="s">
        <v>22</v>
      </c>
      <c r="B443" t="s">
        <v>36</v>
      </c>
      <c r="C443" s="5">
        <v>2.83</v>
      </c>
      <c r="D443" s="7">
        <v>62</v>
      </c>
      <c r="E443" s="6">
        <v>4.8</v>
      </c>
      <c r="F443">
        <v>86</v>
      </c>
      <c r="G443" s="3">
        <v>45006.388888888891</v>
      </c>
      <c r="H443" s="3">
        <v>45006.431944444441</v>
      </c>
      <c r="K443" t="s">
        <v>24</v>
      </c>
      <c r="L443" t="s">
        <v>20</v>
      </c>
      <c r="M443" t="str">
        <f>VLOOKUP(Table1[[#This Row],[Job_Status]],$V$2:$W$4,2,FALSE)</f>
        <v>Defect</v>
      </c>
      <c r="N443" s="7">
        <f>VLOOKUP(Table1[[#This Row],[Job_Status]],$V$2:$X$4,3,FALSE)</f>
        <v>100</v>
      </c>
    </row>
    <row r="444" spans="1:14" x14ac:dyDescent="0.3">
      <c r="A444" t="s">
        <v>34</v>
      </c>
      <c r="B444" t="s">
        <v>36</v>
      </c>
      <c r="C444" s="5">
        <v>2.77</v>
      </c>
      <c r="D444" s="7">
        <v>97</v>
      </c>
      <c r="E444" s="6">
        <v>3.62</v>
      </c>
      <c r="F444">
        <v>87</v>
      </c>
      <c r="G444" s="3">
        <v>45006.395833333336</v>
      </c>
      <c r="H444" s="3">
        <v>45006.463194444441</v>
      </c>
      <c r="I444" s="3">
        <v>45006.393750000003</v>
      </c>
      <c r="J444" s="3">
        <v>45006.461111111108</v>
      </c>
      <c r="K444" t="s">
        <v>16</v>
      </c>
      <c r="L444" t="s">
        <v>20</v>
      </c>
      <c r="M444" t="str">
        <f>VLOOKUP(Table1[[#This Row],[Job_Status]],$V$2:$W$4,2,FALSE)</f>
        <v>Good</v>
      </c>
      <c r="N444" s="7">
        <f>VLOOKUP(Table1[[#This Row],[Job_Status]],$V$2:$X$4,3,FALSE)</f>
        <v>0</v>
      </c>
    </row>
    <row r="445" spans="1:14" x14ac:dyDescent="0.3">
      <c r="A445" t="s">
        <v>40</v>
      </c>
      <c r="B445" t="s">
        <v>27</v>
      </c>
      <c r="C445" s="5">
        <v>2.1</v>
      </c>
      <c r="D445" s="7">
        <v>109</v>
      </c>
      <c r="E445" s="6">
        <v>12.1</v>
      </c>
      <c r="F445">
        <v>97</v>
      </c>
      <c r="G445" s="3">
        <v>45006.402777777781</v>
      </c>
      <c r="H445" s="3">
        <v>45006.478472222225</v>
      </c>
      <c r="I445" s="3">
        <v>45006.40347222222</v>
      </c>
      <c r="J445" s="3">
        <v>45006.479166666664</v>
      </c>
      <c r="K445" t="s">
        <v>16</v>
      </c>
      <c r="L445" t="s">
        <v>17</v>
      </c>
      <c r="M445" t="str">
        <f>VLOOKUP(Table1[[#This Row],[Job_Status]],$V$2:$W$4,2,FALSE)</f>
        <v>Good</v>
      </c>
      <c r="N445" s="7">
        <f>VLOOKUP(Table1[[#This Row],[Job_Status]],$V$2:$X$4,3,FALSE)</f>
        <v>0</v>
      </c>
    </row>
    <row r="446" spans="1:14" x14ac:dyDescent="0.3">
      <c r="A446" t="s">
        <v>40</v>
      </c>
      <c r="B446" t="s">
        <v>15</v>
      </c>
      <c r="C446" s="5">
        <v>4.32</v>
      </c>
      <c r="D446" s="7">
        <v>56</v>
      </c>
      <c r="E446" s="6">
        <v>14.6</v>
      </c>
      <c r="F446">
        <v>83</v>
      </c>
      <c r="G446" s="3">
        <v>45006.409722222219</v>
      </c>
      <c r="H446" s="3">
        <v>45006.448611111111</v>
      </c>
      <c r="I446" s="3">
        <v>45006.412499999999</v>
      </c>
      <c r="J446" s="3">
        <v>45006.451388888891</v>
      </c>
      <c r="K446" t="s">
        <v>16</v>
      </c>
      <c r="L446" t="s">
        <v>17</v>
      </c>
      <c r="M446" t="str">
        <f>VLOOKUP(Table1[[#This Row],[Job_Status]],$V$2:$W$4,2,FALSE)</f>
        <v>Good</v>
      </c>
      <c r="N446" s="7">
        <f>VLOOKUP(Table1[[#This Row],[Job_Status]],$V$2:$X$4,3,FALSE)</f>
        <v>0</v>
      </c>
    </row>
    <row r="447" spans="1:14" x14ac:dyDescent="0.3">
      <c r="A447" t="s">
        <v>22</v>
      </c>
      <c r="B447" t="s">
        <v>27</v>
      </c>
      <c r="C447" s="5">
        <v>3.54</v>
      </c>
      <c r="D447" s="7">
        <v>56</v>
      </c>
      <c r="E447" s="6">
        <v>5.0599999999999996</v>
      </c>
      <c r="F447">
        <v>98</v>
      </c>
      <c r="G447" s="3">
        <v>45006.416666666664</v>
      </c>
      <c r="H447" s="3">
        <v>45006.455555555556</v>
      </c>
      <c r="I447" s="3">
        <v>45006.413888888892</v>
      </c>
      <c r="J447" s="3">
        <v>45006.452777777777</v>
      </c>
      <c r="K447" t="s">
        <v>16</v>
      </c>
      <c r="L447" t="s">
        <v>20</v>
      </c>
      <c r="M447" t="str">
        <f>VLOOKUP(Table1[[#This Row],[Job_Status]],$V$2:$W$4,2,FALSE)</f>
        <v>Good</v>
      </c>
      <c r="N447" s="7">
        <f>VLOOKUP(Table1[[#This Row],[Job_Status]],$V$2:$X$4,3,FALSE)</f>
        <v>0</v>
      </c>
    </row>
    <row r="448" spans="1:14" x14ac:dyDescent="0.3">
      <c r="A448" t="s">
        <v>40</v>
      </c>
      <c r="B448" t="s">
        <v>27</v>
      </c>
      <c r="C448" s="5">
        <v>2.2000000000000002</v>
      </c>
      <c r="D448" s="7">
        <v>62</v>
      </c>
      <c r="E448" s="6">
        <v>10.68</v>
      </c>
      <c r="F448">
        <v>97</v>
      </c>
      <c r="G448" s="3">
        <v>45006.423611111109</v>
      </c>
      <c r="H448" s="3">
        <v>45006.466666666667</v>
      </c>
      <c r="K448" t="s">
        <v>24</v>
      </c>
      <c r="L448" t="s">
        <v>20</v>
      </c>
      <c r="M448" t="str">
        <f>VLOOKUP(Table1[[#This Row],[Job_Status]],$V$2:$W$4,2,FALSE)</f>
        <v>Defect</v>
      </c>
      <c r="N448" s="7">
        <f>VLOOKUP(Table1[[#This Row],[Job_Status]],$V$2:$X$4,3,FALSE)</f>
        <v>100</v>
      </c>
    </row>
    <row r="449" spans="1:14" x14ac:dyDescent="0.3">
      <c r="A449" t="s">
        <v>14</v>
      </c>
      <c r="B449" t="s">
        <v>32</v>
      </c>
      <c r="C449" s="5">
        <v>3.02</v>
      </c>
      <c r="D449" s="7">
        <v>73</v>
      </c>
      <c r="E449" s="6">
        <v>3.13</v>
      </c>
      <c r="F449">
        <v>87</v>
      </c>
      <c r="G449" s="3">
        <v>45006.430555555555</v>
      </c>
      <c r="H449" s="3">
        <v>45006.481249999997</v>
      </c>
      <c r="I449" s="3">
        <v>45006.430555555555</v>
      </c>
      <c r="J449" s="3">
        <v>45006.481249999997</v>
      </c>
      <c r="K449" t="s">
        <v>16</v>
      </c>
      <c r="L449" t="s">
        <v>43</v>
      </c>
      <c r="M449" t="str">
        <f>VLOOKUP(Table1[[#This Row],[Job_Status]],$V$2:$W$4,2,FALSE)</f>
        <v>Good</v>
      </c>
      <c r="N449" s="7">
        <f>VLOOKUP(Table1[[#This Row],[Job_Status]],$V$2:$X$4,3,FALSE)</f>
        <v>0</v>
      </c>
    </row>
    <row r="450" spans="1:14" x14ac:dyDescent="0.3">
      <c r="A450" t="s">
        <v>34</v>
      </c>
      <c r="B450" t="s">
        <v>36</v>
      </c>
      <c r="C450" s="5">
        <v>4.17</v>
      </c>
      <c r="D450" s="7">
        <v>54</v>
      </c>
      <c r="E450" s="6">
        <v>12.99</v>
      </c>
      <c r="F450">
        <v>84</v>
      </c>
      <c r="G450" s="3">
        <v>45006.4375</v>
      </c>
      <c r="H450" s="3">
        <v>45006.474999999999</v>
      </c>
      <c r="I450" s="3">
        <v>45006.439583333333</v>
      </c>
      <c r="J450" s="3">
        <v>45006.477083333331</v>
      </c>
      <c r="K450" t="s">
        <v>16</v>
      </c>
      <c r="L450" t="s">
        <v>17</v>
      </c>
      <c r="M450" t="str">
        <f>VLOOKUP(Table1[[#This Row],[Job_Status]],$V$2:$W$4,2,FALSE)</f>
        <v>Good</v>
      </c>
      <c r="N450" s="7">
        <f>VLOOKUP(Table1[[#This Row],[Job_Status]],$V$2:$X$4,3,FALSE)</f>
        <v>0</v>
      </c>
    </row>
    <row r="451" spans="1:14" x14ac:dyDescent="0.3">
      <c r="A451" t="s">
        <v>14</v>
      </c>
      <c r="B451" t="s">
        <v>15</v>
      </c>
      <c r="C451" s="5">
        <v>4.6500000000000004</v>
      </c>
      <c r="D451" s="7">
        <v>118</v>
      </c>
      <c r="E451" s="6">
        <v>3.42</v>
      </c>
      <c r="F451">
        <v>89</v>
      </c>
      <c r="G451" s="3">
        <v>45006.444444444445</v>
      </c>
      <c r="H451" s="3">
        <v>45006.526388888888</v>
      </c>
      <c r="I451" s="3">
        <v>45006.444444444445</v>
      </c>
      <c r="J451" s="3">
        <v>45006.526388888888</v>
      </c>
      <c r="K451" t="s">
        <v>16</v>
      </c>
      <c r="L451" t="s">
        <v>28</v>
      </c>
      <c r="M451" t="str">
        <f>VLOOKUP(Table1[[#This Row],[Job_Status]],$V$2:$W$4,2,FALSE)</f>
        <v>Good</v>
      </c>
      <c r="N451" s="7">
        <f>VLOOKUP(Table1[[#This Row],[Job_Status]],$V$2:$X$4,3,FALSE)</f>
        <v>0</v>
      </c>
    </row>
    <row r="452" spans="1:14" x14ac:dyDescent="0.3">
      <c r="A452" t="s">
        <v>34</v>
      </c>
      <c r="B452" t="s">
        <v>32</v>
      </c>
      <c r="C452" s="5">
        <v>4.1100000000000003</v>
      </c>
      <c r="D452" s="7">
        <v>95</v>
      </c>
      <c r="E452" s="6">
        <v>4.55</v>
      </c>
      <c r="F452">
        <v>92</v>
      </c>
      <c r="G452" s="3">
        <v>45006.451388888891</v>
      </c>
      <c r="H452" s="3">
        <v>45006.517361111109</v>
      </c>
      <c r="I452" s="3">
        <v>45006.469444444447</v>
      </c>
      <c r="J452" s="3">
        <v>45006.535416666666</v>
      </c>
      <c r="K452" t="s">
        <v>19</v>
      </c>
      <c r="L452" t="s">
        <v>20</v>
      </c>
      <c r="M452" t="str">
        <f>VLOOKUP(Table1[[#This Row],[Job_Status]],$V$2:$W$4,2,FALSE)</f>
        <v>Good</v>
      </c>
      <c r="N452" s="7">
        <f>VLOOKUP(Table1[[#This Row],[Job_Status]],$V$2:$X$4,3,FALSE)</f>
        <v>0</v>
      </c>
    </row>
    <row r="453" spans="1:14" x14ac:dyDescent="0.3">
      <c r="A453" t="s">
        <v>14</v>
      </c>
      <c r="B453" t="s">
        <v>15</v>
      </c>
      <c r="C453" s="5">
        <v>4.92</v>
      </c>
      <c r="D453" s="7">
        <v>109</v>
      </c>
      <c r="E453" s="6">
        <v>9.01</v>
      </c>
      <c r="F453">
        <v>92</v>
      </c>
      <c r="G453" s="3">
        <v>45006.458333333336</v>
      </c>
      <c r="H453" s="3">
        <v>45006.53402777778</v>
      </c>
      <c r="I453" s="3">
        <v>45006.465277777781</v>
      </c>
      <c r="J453" s="3">
        <v>45006.540972222225</v>
      </c>
      <c r="K453" t="s">
        <v>19</v>
      </c>
      <c r="L453" t="s">
        <v>20</v>
      </c>
      <c r="M453" t="str">
        <f>VLOOKUP(Table1[[#This Row],[Job_Status]],$V$2:$W$4,2,FALSE)</f>
        <v>Good</v>
      </c>
      <c r="N453" s="7">
        <f>VLOOKUP(Table1[[#This Row],[Job_Status]],$V$2:$X$4,3,FALSE)</f>
        <v>0</v>
      </c>
    </row>
    <row r="454" spans="1:14" x14ac:dyDescent="0.3">
      <c r="A454" t="s">
        <v>30</v>
      </c>
      <c r="B454" t="s">
        <v>36</v>
      </c>
      <c r="C454" s="5">
        <v>1.82</v>
      </c>
      <c r="D454" s="7">
        <v>110</v>
      </c>
      <c r="E454" s="6">
        <v>7.81</v>
      </c>
      <c r="F454">
        <v>99</v>
      </c>
      <c r="G454" s="3">
        <v>45006.465277777781</v>
      </c>
      <c r="H454" s="3">
        <v>45006.541666666664</v>
      </c>
      <c r="I454" s="3">
        <v>45006.46875</v>
      </c>
      <c r="J454" s="3">
        <v>45006.545138888891</v>
      </c>
      <c r="K454" t="s">
        <v>16</v>
      </c>
      <c r="L454" t="s">
        <v>17</v>
      </c>
      <c r="M454" t="str">
        <f>VLOOKUP(Table1[[#This Row],[Job_Status]],$V$2:$W$4,2,FALSE)</f>
        <v>Good</v>
      </c>
      <c r="N454" s="7">
        <f>VLOOKUP(Table1[[#This Row],[Job_Status]],$V$2:$X$4,3,FALSE)</f>
        <v>0</v>
      </c>
    </row>
    <row r="455" spans="1:14" x14ac:dyDescent="0.3">
      <c r="A455" t="s">
        <v>40</v>
      </c>
      <c r="B455" t="s">
        <v>23</v>
      </c>
      <c r="C455" s="5">
        <v>3.78</v>
      </c>
      <c r="D455" s="7">
        <v>113</v>
      </c>
      <c r="E455" s="6">
        <v>5.09</v>
      </c>
      <c r="F455">
        <v>91</v>
      </c>
      <c r="G455" s="3">
        <v>45006.472222222219</v>
      </c>
      <c r="H455" s="3">
        <v>45006.550694444442</v>
      </c>
      <c r="I455" s="3">
        <v>45006.474999999999</v>
      </c>
      <c r="J455" s="3">
        <v>45006.553472222222</v>
      </c>
      <c r="K455" t="s">
        <v>16</v>
      </c>
      <c r="L455" t="s">
        <v>28</v>
      </c>
      <c r="M455" t="str">
        <f>VLOOKUP(Table1[[#This Row],[Job_Status]],$V$2:$W$4,2,FALSE)</f>
        <v>Good</v>
      </c>
      <c r="N455" s="7">
        <f>VLOOKUP(Table1[[#This Row],[Job_Status]],$V$2:$X$4,3,FALSE)</f>
        <v>0</v>
      </c>
    </row>
    <row r="456" spans="1:14" x14ac:dyDescent="0.3">
      <c r="A456" t="s">
        <v>40</v>
      </c>
      <c r="B456" t="s">
        <v>23</v>
      </c>
      <c r="C456" s="5">
        <v>4.4400000000000004</v>
      </c>
      <c r="D456" s="7">
        <v>55</v>
      </c>
      <c r="E456" s="6">
        <v>6.99</v>
      </c>
      <c r="F456">
        <v>91</v>
      </c>
      <c r="G456" s="3">
        <v>45006.479166666664</v>
      </c>
      <c r="H456" s="3">
        <v>45006.517361111109</v>
      </c>
      <c r="I456" s="3">
        <v>45006.494444444441</v>
      </c>
      <c r="J456" s="3">
        <v>45006.532638888886</v>
      </c>
      <c r="K456" t="s">
        <v>19</v>
      </c>
      <c r="L456" t="s">
        <v>20</v>
      </c>
      <c r="M456" t="str">
        <f>VLOOKUP(Table1[[#This Row],[Job_Status]],$V$2:$W$4,2,FALSE)</f>
        <v>Good</v>
      </c>
      <c r="N456" s="7">
        <f>VLOOKUP(Table1[[#This Row],[Job_Status]],$V$2:$X$4,3,FALSE)</f>
        <v>0</v>
      </c>
    </row>
    <row r="457" spans="1:14" x14ac:dyDescent="0.3">
      <c r="A457" t="s">
        <v>14</v>
      </c>
      <c r="B457" t="s">
        <v>15</v>
      </c>
      <c r="C457" s="5">
        <v>3.88</v>
      </c>
      <c r="D457" s="7">
        <v>107</v>
      </c>
      <c r="E457" s="6">
        <v>2.35</v>
      </c>
      <c r="F457">
        <v>92</v>
      </c>
      <c r="G457" s="3">
        <v>45006.486111111109</v>
      </c>
      <c r="H457" s="3">
        <v>45006.560416666667</v>
      </c>
      <c r="I457" s="3">
        <v>45006.487500000003</v>
      </c>
      <c r="J457" s="3">
        <v>45006.561805555553</v>
      </c>
      <c r="K457" t="s">
        <v>16</v>
      </c>
      <c r="L457" t="s">
        <v>28</v>
      </c>
      <c r="M457" t="str">
        <f>VLOOKUP(Table1[[#This Row],[Job_Status]],$V$2:$W$4,2,FALSE)</f>
        <v>Good</v>
      </c>
      <c r="N457" s="7">
        <f>VLOOKUP(Table1[[#This Row],[Job_Status]],$V$2:$X$4,3,FALSE)</f>
        <v>0</v>
      </c>
    </row>
    <row r="458" spans="1:14" x14ac:dyDescent="0.3">
      <c r="A458" t="s">
        <v>34</v>
      </c>
      <c r="B458" t="s">
        <v>36</v>
      </c>
      <c r="C458" s="5">
        <v>4.58</v>
      </c>
      <c r="D458" s="7">
        <v>75</v>
      </c>
      <c r="E458" s="6">
        <v>7.59</v>
      </c>
      <c r="F458">
        <v>83</v>
      </c>
      <c r="G458" s="3">
        <v>45006.493055555555</v>
      </c>
      <c r="H458" s="3">
        <v>45006.545138888891</v>
      </c>
      <c r="I458" s="3">
        <v>45006.510416666664</v>
      </c>
      <c r="J458" s="3">
        <v>45006.5625</v>
      </c>
      <c r="K458" t="s">
        <v>19</v>
      </c>
      <c r="L458" t="s">
        <v>20</v>
      </c>
      <c r="M458" t="str">
        <f>VLOOKUP(Table1[[#This Row],[Job_Status]],$V$2:$W$4,2,FALSE)</f>
        <v>Good</v>
      </c>
      <c r="N458" s="7">
        <f>VLOOKUP(Table1[[#This Row],[Job_Status]],$V$2:$X$4,3,FALSE)</f>
        <v>0</v>
      </c>
    </row>
    <row r="459" spans="1:14" x14ac:dyDescent="0.3">
      <c r="A459" t="s">
        <v>30</v>
      </c>
      <c r="B459" t="s">
        <v>23</v>
      </c>
      <c r="C459" s="5">
        <v>4.92</v>
      </c>
      <c r="D459" s="7">
        <v>101</v>
      </c>
      <c r="E459" s="6">
        <v>14.23</v>
      </c>
      <c r="F459">
        <v>93</v>
      </c>
      <c r="G459" s="3">
        <v>45006.5</v>
      </c>
      <c r="H459" s="3">
        <v>45006.570138888892</v>
      </c>
      <c r="I459" s="3">
        <v>45006.519444444442</v>
      </c>
      <c r="J459" s="3">
        <v>45006.589583333334</v>
      </c>
      <c r="K459" t="s">
        <v>19</v>
      </c>
      <c r="L459" t="s">
        <v>20</v>
      </c>
      <c r="M459" t="str">
        <f>VLOOKUP(Table1[[#This Row],[Job_Status]],$V$2:$W$4,2,FALSE)</f>
        <v>Good</v>
      </c>
      <c r="N459" s="7">
        <f>VLOOKUP(Table1[[#This Row],[Job_Status]],$V$2:$X$4,3,FALSE)</f>
        <v>0</v>
      </c>
    </row>
    <row r="460" spans="1:14" x14ac:dyDescent="0.3">
      <c r="A460" t="s">
        <v>40</v>
      </c>
      <c r="B460" t="s">
        <v>15</v>
      </c>
      <c r="C460" s="5">
        <v>4.18</v>
      </c>
      <c r="D460" s="7">
        <v>110</v>
      </c>
      <c r="E460" s="6">
        <v>12.73</v>
      </c>
      <c r="F460">
        <v>85</v>
      </c>
      <c r="G460" s="3">
        <v>45006.506944444445</v>
      </c>
      <c r="H460" s="3">
        <v>45006.583333333336</v>
      </c>
      <c r="I460" s="3">
        <v>45006.506249999999</v>
      </c>
      <c r="J460" s="3">
        <v>45006.582638888889</v>
      </c>
      <c r="K460" t="s">
        <v>16</v>
      </c>
      <c r="L460" t="s">
        <v>20</v>
      </c>
      <c r="M460" t="str">
        <f>VLOOKUP(Table1[[#This Row],[Job_Status]],$V$2:$W$4,2,FALSE)</f>
        <v>Good</v>
      </c>
      <c r="N460" s="7">
        <f>VLOOKUP(Table1[[#This Row],[Job_Status]],$V$2:$X$4,3,FALSE)</f>
        <v>0</v>
      </c>
    </row>
    <row r="461" spans="1:14" x14ac:dyDescent="0.3">
      <c r="A461" t="s">
        <v>30</v>
      </c>
      <c r="B461" t="s">
        <v>15</v>
      </c>
      <c r="C461" s="5">
        <v>4.68</v>
      </c>
      <c r="D461" s="7">
        <v>93</v>
      </c>
      <c r="E461" s="6">
        <v>10.61</v>
      </c>
      <c r="F461">
        <v>83</v>
      </c>
      <c r="G461" s="3">
        <v>45006.513888888891</v>
      </c>
      <c r="H461" s="3">
        <v>45006.578472222223</v>
      </c>
      <c r="I461" s="3">
        <v>45006.51458333333</v>
      </c>
      <c r="J461" s="3">
        <v>45006.57916666667</v>
      </c>
      <c r="K461" t="s">
        <v>16</v>
      </c>
      <c r="L461" t="s">
        <v>17</v>
      </c>
      <c r="M461" t="str">
        <f>VLOOKUP(Table1[[#This Row],[Job_Status]],$V$2:$W$4,2,FALSE)</f>
        <v>Good</v>
      </c>
      <c r="N461" s="7">
        <f>VLOOKUP(Table1[[#This Row],[Job_Status]],$V$2:$X$4,3,FALSE)</f>
        <v>0</v>
      </c>
    </row>
    <row r="462" spans="1:14" x14ac:dyDescent="0.3">
      <c r="A462" t="s">
        <v>22</v>
      </c>
      <c r="B462" t="s">
        <v>15</v>
      </c>
      <c r="C462" s="5">
        <v>4.8899999999999997</v>
      </c>
      <c r="D462" s="7">
        <v>105</v>
      </c>
      <c r="E462" s="6">
        <v>4.74</v>
      </c>
      <c r="F462">
        <v>87</v>
      </c>
      <c r="G462" s="3">
        <v>45006.520833333336</v>
      </c>
      <c r="H462" s="3">
        <v>45006.59375</v>
      </c>
      <c r="I462" s="3">
        <v>45006.519444444442</v>
      </c>
      <c r="J462" s="3">
        <v>45006.592361111114</v>
      </c>
      <c r="K462" t="s">
        <v>16</v>
      </c>
      <c r="L462" t="s">
        <v>20</v>
      </c>
      <c r="M462" t="str">
        <f>VLOOKUP(Table1[[#This Row],[Job_Status]],$V$2:$W$4,2,FALSE)</f>
        <v>Good</v>
      </c>
      <c r="N462" s="7">
        <f>VLOOKUP(Table1[[#This Row],[Job_Status]],$V$2:$X$4,3,FALSE)</f>
        <v>0</v>
      </c>
    </row>
    <row r="463" spans="1:14" x14ac:dyDescent="0.3">
      <c r="A463" t="s">
        <v>30</v>
      </c>
      <c r="B463" t="s">
        <v>36</v>
      </c>
      <c r="C463" s="5">
        <v>4.0599999999999996</v>
      </c>
      <c r="D463" s="7">
        <v>50</v>
      </c>
      <c r="E463" s="6">
        <v>9.9499999999999993</v>
      </c>
      <c r="F463">
        <v>97</v>
      </c>
      <c r="G463" s="3">
        <v>45006.527777777781</v>
      </c>
      <c r="H463" s="3">
        <v>45006.5625</v>
      </c>
      <c r="I463" s="3">
        <v>45006.52847222222</v>
      </c>
      <c r="J463" s="3">
        <v>45006.563194444447</v>
      </c>
      <c r="K463" t="s">
        <v>16</v>
      </c>
      <c r="L463" t="s">
        <v>17</v>
      </c>
      <c r="M463" t="str">
        <f>VLOOKUP(Table1[[#This Row],[Job_Status]],$V$2:$W$4,2,FALSE)</f>
        <v>Good</v>
      </c>
      <c r="N463" s="7">
        <f>VLOOKUP(Table1[[#This Row],[Job_Status]],$V$2:$X$4,3,FALSE)</f>
        <v>0</v>
      </c>
    </row>
    <row r="464" spans="1:14" x14ac:dyDescent="0.3">
      <c r="A464" t="s">
        <v>34</v>
      </c>
      <c r="B464" t="s">
        <v>15</v>
      </c>
      <c r="C464" s="5">
        <v>4.34</v>
      </c>
      <c r="D464" s="7">
        <v>46</v>
      </c>
      <c r="E464" s="6">
        <v>7.51</v>
      </c>
      <c r="F464">
        <v>80</v>
      </c>
      <c r="G464" s="3">
        <v>45006.534722222219</v>
      </c>
      <c r="H464" s="3">
        <v>45006.566666666666</v>
      </c>
      <c r="I464" s="3">
        <v>45006.543055555558</v>
      </c>
      <c r="J464" s="3">
        <v>45006.574999999997</v>
      </c>
      <c r="K464" t="s">
        <v>19</v>
      </c>
      <c r="L464" t="s">
        <v>20</v>
      </c>
      <c r="M464" t="str">
        <f>VLOOKUP(Table1[[#This Row],[Job_Status]],$V$2:$W$4,2,FALSE)</f>
        <v>Good</v>
      </c>
      <c r="N464" s="7">
        <f>VLOOKUP(Table1[[#This Row],[Job_Status]],$V$2:$X$4,3,FALSE)</f>
        <v>0</v>
      </c>
    </row>
    <row r="465" spans="1:14" x14ac:dyDescent="0.3">
      <c r="A465" t="s">
        <v>30</v>
      </c>
      <c r="B465" t="s">
        <v>15</v>
      </c>
      <c r="C465" s="5">
        <v>2.31</v>
      </c>
      <c r="D465" s="7">
        <v>28</v>
      </c>
      <c r="E465" s="6">
        <v>13.03</v>
      </c>
      <c r="F465">
        <v>80</v>
      </c>
      <c r="G465" s="3">
        <v>45006.541666666664</v>
      </c>
      <c r="H465" s="3">
        <v>45006.561111111114</v>
      </c>
      <c r="I465" s="3">
        <v>45006.538194444445</v>
      </c>
      <c r="J465" s="3">
        <v>45006.557638888888</v>
      </c>
      <c r="K465" t="s">
        <v>16</v>
      </c>
      <c r="L465" t="s">
        <v>20</v>
      </c>
      <c r="M465" t="str">
        <f>VLOOKUP(Table1[[#This Row],[Job_Status]],$V$2:$W$4,2,FALSE)</f>
        <v>Good</v>
      </c>
      <c r="N465" s="7">
        <f>VLOOKUP(Table1[[#This Row],[Job_Status]],$V$2:$X$4,3,FALSE)</f>
        <v>0</v>
      </c>
    </row>
    <row r="466" spans="1:14" x14ac:dyDescent="0.3">
      <c r="A466" t="s">
        <v>30</v>
      </c>
      <c r="B466" t="s">
        <v>27</v>
      </c>
      <c r="C466" s="5">
        <v>1.46</v>
      </c>
      <c r="D466" s="7">
        <v>92</v>
      </c>
      <c r="E466" s="6">
        <v>2.84</v>
      </c>
      <c r="F466">
        <v>98</v>
      </c>
      <c r="G466" s="3">
        <v>45006.548611111109</v>
      </c>
      <c r="H466" s="3">
        <v>45006.612500000003</v>
      </c>
      <c r="I466" s="3">
        <v>45006.545138888891</v>
      </c>
      <c r="J466" s="3">
        <v>45006.609027777777</v>
      </c>
      <c r="K466" t="s">
        <v>16</v>
      </c>
      <c r="L466" t="s">
        <v>20</v>
      </c>
      <c r="M466" t="str">
        <f>VLOOKUP(Table1[[#This Row],[Job_Status]],$V$2:$W$4,2,FALSE)</f>
        <v>Good</v>
      </c>
      <c r="N466" s="7">
        <f>VLOOKUP(Table1[[#This Row],[Job_Status]],$V$2:$X$4,3,FALSE)</f>
        <v>0</v>
      </c>
    </row>
    <row r="467" spans="1:14" x14ac:dyDescent="0.3">
      <c r="A467" t="s">
        <v>14</v>
      </c>
      <c r="B467" t="s">
        <v>32</v>
      </c>
      <c r="C467" s="5">
        <v>4.1900000000000004</v>
      </c>
      <c r="D467" s="7">
        <v>28</v>
      </c>
      <c r="E467" s="6">
        <v>2.46</v>
      </c>
      <c r="F467">
        <v>89</v>
      </c>
      <c r="G467" s="3">
        <v>45006.555555555555</v>
      </c>
      <c r="H467" s="3">
        <v>45006.574999999997</v>
      </c>
      <c r="K467" t="s">
        <v>24</v>
      </c>
      <c r="L467" t="s">
        <v>20</v>
      </c>
      <c r="M467" t="str">
        <f>VLOOKUP(Table1[[#This Row],[Job_Status]],$V$2:$W$4,2,FALSE)</f>
        <v>Defect</v>
      </c>
      <c r="N467" s="7">
        <f>VLOOKUP(Table1[[#This Row],[Job_Status]],$V$2:$X$4,3,FALSE)</f>
        <v>100</v>
      </c>
    </row>
    <row r="468" spans="1:14" x14ac:dyDescent="0.3">
      <c r="A468" t="s">
        <v>14</v>
      </c>
      <c r="B468" t="s">
        <v>32</v>
      </c>
      <c r="C468" s="5">
        <v>4.8</v>
      </c>
      <c r="D468" s="7">
        <v>21</v>
      </c>
      <c r="E468" s="6">
        <v>11.49</v>
      </c>
      <c r="F468">
        <v>83</v>
      </c>
      <c r="G468" s="3">
        <v>45006.5625</v>
      </c>
      <c r="H468" s="3">
        <v>45006.57708333333</v>
      </c>
      <c r="I468" s="3">
        <v>45006.5625</v>
      </c>
      <c r="J468" s="3">
        <v>45006.57708333333</v>
      </c>
      <c r="K468" t="s">
        <v>16</v>
      </c>
      <c r="L468" t="s">
        <v>17</v>
      </c>
      <c r="M468" t="str">
        <f>VLOOKUP(Table1[[#This Row],[Job_Status]],$V$2:$W$4,2,FALSE)</f>
        <v>Good</v>
      </c>
      <c r="N468" s="7">
        <f>VLOOKUP(Table1[[#This Row],[Job_Status]],$V$2:$X$4,3,FALSE)</f>
        <v>0</v>
      </c>
    </row>
    <row r="469" spans="1:14" x14ac:dyDescent="0.3">
      <c r="A469" t="s">
        <v>14</v>
      </c>
      <c r="B469" t="s">
        <v>15</v>
      </c>
      <c r="C469" s="5">
        <v>1.76</v>
      </c>
      <c r="D469" s="7">
        <v>37</v>
      </c>
      <c r="E469" s="6">
        <v>10.63</v>
      </c>
      <c r="F469">
        <v>97</v>
      </c>
      <c r="G469" s="3">
        <v>45006.569444444445</v>
      </c>
      <c r="H469" s="3">
        <v>45006.595138888886</v>
      </c>
      <c r="I469" s="3">
        <v>45006.568055555559</v>
      </c>
      <c r="J469" s="3">
        <v>45006.59375</v>
      </c>
      <c r="K469" t="s">
        <v>16</v>
      </c>
      <c r="L469" t="s">
        <v>20</v>
      </c>
      <c r="M469" t="str">
        <f>VLOOKUP(Table1[[#This Row],[Job_Status]],$V$2:$W$4,2,FALSE)</f>
        <v>Good</v>
      </c>
      <c r="N469" s="7">
        <f>VLOOKUP(Table1[[#This Row],[Job_Status]],$V$2:$X$4,3,FALSE)</f>
        <v>0</v>
      </c>
    </row>
    <row r="470" spans="1:14" x14ac:dyDescent="0.3">
      <c r="A470" t="s">
        <v>34</v>
      </c>
      <c r="B470" t="s">
        <v>32</v>
      </c>
      <c r="C470" s="5">
        <v>1.8</v>
      </c>
      <c r="D470" s="7">
        <v>42</v>
      </c>
      <c r="E470" s="6">
        <v>9.42</v>
      </c>
      <c r="F470">
        <v>82</v>
      </c>
      <c r="G470" s="3">
        <v>45006.576388888891</v>
      </c>
      <c r="H470" s="3">
        <v>45006.605555555558</v>
      </c>
      <c r="I470" s="3">
        <v>45006.575694444444</v>
      </c>
      <c r="J470" s="3">
        <v>45006.604861111111</v>
      </c>
      <c r="K470" t="s">
        <v>16</v>
      </c>
      <c r="L470" t="s">
        <v>20</v>
      </c>
      <c r="M470" t="str">
        <f>VLOOKUP(Table1[[#This Row],[Job_Status]],$V$2:$W$4,2,FALSE)</f>
        <v>Good</v>
      </c>
      <c r="N470" s="7">
        <f>VLOOKUP(Table1[[#This Row],[Job_Status]],$V$2:$X$4,3,FALSE)</f>
        <v>0</v>
      </c>
    </row>
    <row r="471" spans="1:14" x14ac:dyDescent="0.3">
      <c r="A471" t="s">
        <v>22</v>
      </c>
      <c r="B471" t="s">
        <v>23</v>
      </c>
      <c r="C471" s="5">
        <v>4.17</v>
      </c>
      <c r="D471" s="7">
        <v>119</v>
      </c>
      <c r="E471" s="6">
        <v>9.17</v>
      </c>
      <c r="F471">
        <v>92</v>
      </c>
      <c r="G471" s="3">
        <v>45006.583333333336</v>
      </c>
      <c r="H471" s="3">
        <v>45006.665972222225</v>
      </c>
      <c r="I471" s="3">
        <v>45006.583333333336</v>
      </c>
      <c r="J471" s="3">
        <v>45006.665972222225</v>
      </c>
      <c r="K471" t="s">
        <v>16</v>
      </c>
      <c r="L471" t="s">
        <v>28</v>
      </c>
      <c r="M471" t="str">
        <f>VLOOKUP(Table1[[#This Row],[Job_Status]],$V$2:$W$4,2,FALSE)</f>
        <v>Good</v>
      </c>
      <c r="N471" s="7">
        <f>VLOOKUP(Table1[[#This Row],[Job_Status]],$V$2:$X$4,3,FALSE)</f>
        <v>0</v>
      </c>
    </row>
    <row r="472" spans="1:14" x14ac:dyDescent="0.3">
      <c r="A472" t="s">
        <v>34</v>
      </c>
      <c r="B472" t="s">
        <v>36</v>
      </c>
      <c r="C472" s="5">
        <v>1.8</v>
      </c>
      <c r="D472" s="7">
        <v>56</v>
      </c>
      <c r="E472" s="6">
        <v>11.98</v>
      </c>
      <c r="F472">
        <v>87</v>
      </c>
      <c r="G472" s="3">
        <v>45006.590277777781</v>
      </c>
      <c r="H472" s="3">
        <v>45006.629166666666</v>
      </c>
      <c r="I472" s="3">
        <v>45006.593055555553</v>
      </c>
      <c r="J472" s="3">
        <v>45006.631944444445</v>
      </c>
      <c r="K472" t="s">
        <v>16</v>
      </c>
      <c r="L472" t="s">
        <v>17</v>
      </c>
      <c r="M472" t="str">
        <f>VLOOKUP(Table1[[#This Row],[Job_Status]],$V$2:$W$4,2,FALSE)</f>
        <v>Good</v>
      </c>
      <c r="N472" s="7">
        <f>VLOOKUP(Table1[[#This Row],[Job_Status]],$V$2:$X$4,3,FALSE)</f>
        <v>0</v>
      </c>
    </row>
    <row r="473" spans="1:14" x14ac:dyDescent="0.3">
      <c r="A473" t="s">
        <v>14</v>
      </c>
      <c r="B473" t="s">
        <v>27</v>
      </c>
      <c r="C473" s="5">
        <v>1.72</v>
      </c>
      <c r="D473" s="7">
        <v>22</v>
      </c>
      <c r="E473" s="6">
        <v>2.2999999999999998</v>
      </c>
      <c r="F473">
        <v>90</v>
      </c>
      <c r="G473" s="3">
        <v>45006.597222222219</v>
      </c>
      <c r="H473" s="3">
        <v>45006.612500000003</v>
      </c>
      <c r="I473" s="3">
        <v>45006.600694444445</v>
      </c>
      <c r="J473" s="3">
        <v>45006.615972222222</v>
      </c>
      <c r="K473" t="s">
        <v>16</v>
      </c>
      <c r="L473" t="s">
        <v>28</v>
      </c>
      <c r="M473" t="str">
        <f>VLOOKUP(Table1[[#This Row],[Job_Status]],$V$2:$W$4,2,FALSE)</f>
        <v>Good</v>
      </c>
      <c r="N473" s="7">
        <f>VLOOKUP(Table1[[#This Row],[Job_Status]],$V$2:$X$4,3,FALSE)</f>
        <v>0</v>
      </c>
    </row>
    <row r="474" spans="1:14" x14ac:dyDescent="0.3">
      <c r="A474" t="s">
        <v>30</v>
      </c>
      <c r="B474" t="s">
        <v>15</v>
      </c>
      <c r="C474" s="5">
        <v>4.92</v>
      </c>
      <c r="D474" s="7">
        <v>79</v>
      </c>
      <c r="E474" s="6">
        <v>7.54</v>
      </c>
      <c r="F474">
        <v>98</v>
      </c>
      <c r="G474" s="3">
        <v>45006.604166666664</v>
      </c>
      <c r="H474" s="3">
        <v>45006.65902777778</v>
      </c>
      <c r="I474" s="3">
        <v>45006.601388888892</v>
      </c>
      <c r="J474" s="3">
        <v>45006.65625</v>
      </c>
      <c r="K474" t="s">
        <v>16</v>
      </c>
      <c r="L474" t="s">
        <v>20</v>
      </c>
      <c r="M474" t="str">
        <f>VLOOKUP(Table1[[#This Row],[Job_Status]],$V$2:$W$4,2,FALSE)</f>
        <v>Good</v>
      </c>
      <c r="N474" s="7">
        <f>VLOOKUP(Table1[[#This Row],[Job_Status]],$V$2:$X$4,3,FALSE)</f>
        <v>0</v>
      </c>
    </row>
    <row r="475" spans="1:14" x14ac:dyDescent="0.3">
      <c r="A475" t="s">
        <v>22</v>
      </c>
      <c r="B475" t="s">
        <v>27</v>
      </c>
      <c r="C475" s="5">
        <v>3.84</v>
      </c>
      <c r="D475" s="7">
        <v>80</v>
      </c>
      <c r="E475" s="6">
        <v>12.21</v>
      </c>
      <c r="F475">
        <v>81</v>
      </c>
      <c r="G475" s="3">
        <v>45006.611111111109</v>
      </c>
      <c r="H475" s="3">
        <v>45006.666666666664</v>
      </c>
      <c r="I475" s="3">
        <v>45006.607638888891</v>
      </c>
      <c r="J475" s="3">
        <v>45006.663194444445</v>
      </c>
      <c r="K475" t="s">
        <v>16</v>
      </c>
      <c r="L475" t="s">
        <v>20</v>
      </c>
      <c r="M475" t="str">
        <f>VLOOKUP(Table1[[#This Row],[Job_Status]],$V$2:$W$4,2,FALSE)</f>
        <v>Good</v>
      </c>
      <c r="N475" s="7">
        <f>VLOOKUP(Table1[[#This Row],[Job_Status]],$V$2:$X$4,3,FALSE)</f>
        <v>0</v>
      </c>
    </row>
    <row r="476" spans="1:14" x14ac:dyDescent="0.3">
      <c r="A476" t="s">
        <v>22</v>
      </c>
      <c r="B476" t="s">
        <v>15</v>
      </c>
      <c r="C476" s="5">
        <v>2.98</v>
      </c>
      <c r="D476" s="7">
        <v>52</v>
      </c>
      <c r="E476" s="6">
        <v>5.65</v>
      </c>
      <c r="F476">
        <v>82</v>
      </c>
      <c r="G476" s="3">
        <v>45006.618055555555</v>
      </c>
      <c r="H476" s="3">
        <v>45006.654166666667</v>
      </c>
      <c r="I476" s="3">
        <v>45006.638888888891</v>
      </c>
      <c r="J476" s="3">
        <v>45006.675000000003</v>
      </c>
      <c r="K476" t="s">
        <v>19</v>
      </c>
      <c r="L476" t="s">
        <v>20</v>
      </c>
      <c r="M476" t="str">
        <f>VLOOKUP(Table1[[#This Row],[Job_Status]],$V$2:$W$4,2,FALSE)</f>
        <v>Good</v>
      </c>
      <c r="N476" s="7">
        <f>VLOOKUP(Table1[[#This Row],[Job_Status]],$V$2:$X$4,3,FALSE)</f>
        <v>0</v>
      </c>
    </row>
    <row r="477" spans="1:14" x14ac:dyDescent="0.3">
      <c r="A477" t="s">
        <v>14</v>
      </c>
      <c r="B477" t="s">
        <v>27</v>
      </c>
      <c r="C477" s="5">
        <v>2.0699999999999998</v>
      </c>
      <c r="D477" s="7">
        <v>106</v>
      </c>
      <c r="E477" s="6">
        <v>8.41</v>
      </c>
      <c r="F477">
        <v>95</v>
      </c>
      <c r="G477" s="3">
        <v>45006.625</v>
      </c>
      <c r="H477" s="3">
        <v>45006.698611111111</v>
      </c>
      <c r="I477" s="3">
        <v>45006.62777777778</v>
      </c>
      <c r="J477" s="3">
        <v>45006.701388888891</v>
      </c>
      <c r="K477" t="s">
        <v>16</v>
      </c>
      <c r="L477" t="s">
        <v>17</v>
      </c>
      <c r="M477" t="str">
        <f>VLOOKUP(Table1[[#This Row],[Job_Status]],$V$2:$W$4,2,FALSE)</f>
        <v>Good</v>
      </c>
      <c r="N477" s="7">
        <f>VLOOKUP(Table1[[#This Row],[Job_Status]],$V$2:$X$4,3,FALSE)</f>
        <v>0</v>
      </c>
    </row>
    <row r="478" spans="1:14" x14ac:dyDescent="0.3">
      <c r="A478" t="s">
        <v>30</v>
      </c>
      <c r="B478" t="s">
        <v>27</v>
      </c>
      <c r="C478" s="5">
        <v>2.88</v>
      </c>
      <c r="D478" s="7">
        <v>83</v>
      </c>
      <c r="E478" s="6">
        <v>4.1399999999999997</v>
      </c>
      <c r="F478">
        <v>86</v>
      </c>
      <c r="G478" s="3">
        <v>45006.631944444445</v>
      </c>
      <c r="H478" s="3">
        <v>45006.689583333333</v>
      </c>
      <c r="I478" s="3">
        <v>45006.634027777778</v>
      </c>
      <c r="J478" s="3">
        <v>45006.691666666666</v>
      </c>
      <c r="K478" t="s">
        <v>16</v>
      </c>
      <c r="L478" t="s">
        <v>28</v>
      </c>
      <c r="M478" t="str">
        <f>VLOOKUP(Table1[[#This Row],[Job_Status]],$V$2:$W$4,2,FALSE)</f>
        <v>Good</v>
      </c>
      <c r="N478" s="7">
        <f>VLOOKUP(Table1[[#This Row],[Job_Status]],$V$2:$X$4,3,FALSE)</f>
        <v>0</v>
      </c>
    </row>
    <row r="479" spans="1:14" x14ac:dyDescent="0.3">
      <c r="A479" t="s">
        <v>14</v>
      </c>
      <c r="B479" t="s">
        <v>36</v>
      </c>
      <c r="C479" s="5">
        <v>1.23</v>
      </c>
      <c r="D479" s="7">
        <v>35</v>
      </c>
      <c r="E479" s="6">
        <v>14.52</v>
      </c>
      <c r="F479">
        <v>98</v>
      </c>
      <c r="G479" s="3">
        <v>45006.638888888891</v>
      </c>
      <c r="H479" s="3">
        <v>45006.663194444445</v>
      </c>
      <c r="I479" s="3">
        <v>45006.635416666664</v>
      </c>
      <c r="J479" s="3">
        <v>45006.659722222219</v>
      </c>
      <c r="K479" t="s">
        <v>16</v>
      </c>
      <c r="L479" t="s">
        <v>20</v>
      </c>
      <c r="M479" t="str">
        <f>VLOOKUP(Table1[[#This Row],[Job_Status]],$V$2:$W$4,2,FALSE)</f>
        <v>Good</v>
      </c>
      <c r="N479" s="7">
        <f>VLOOKUP(Table1[[#This Row],[Job_Status]],$V$2:$X$4,3,FALSE)</f>
        <v>0</v>
      </c>
    </row>
    <row r="480" spans="1:14" x14ac:dyDescent="0.3">
      <c r="A480" t="s">
        <v>34</v>
      </c>
      <c r="B480" t="s">
        <v>32</v>
      </c>
      <c r="C480" s="5">
        <v>3.89</v>
      </c>
      <c r="D480" s="7">
        <v>34</v>
      </c>
      <c r="E480" s="6">
        <v>7.69</v>
      </c>
      <c r="F480">
        <v>90</v>
      </c>
      <c r="G480" s="3">
        <v>45006.645833333336</v>
      </c>
      <c r="H480" s="3">
        <v>45006.669444444444</v>
      </c>
      <c r="I480" s="3">
        <v>45006.664583333331</v>
      </c>
      <c r="J480" s="3">
        <v>45006.688194444447</v>
      </c>
      <c r="K480" t="s">
        <v>19</v>
      </c>
      <c r="L480" t="s">
        <v>20</v>
      </c>
      <c r="M480" t="str">
        <f>VLOOKUP(Table1[[#This Row],[Job_Status]],$V$2:$W$4,2,FALSE)</f>
        <v>Good</v>
      </c>
      <c r="N480" s="7">
        <f>VLOOKUP(Table1[[#This Row],[Job_Status]],$V$2:$X$4,3,FALSE)</f>
        <v>0</v>
      </c>
    </row>
    <row r="481" spans="1:14" x14ac:dyDescent="0.3">
      <c r="A481" t="s">
        <v>30</v>
      </c>
      <c r="B481" t="s">
        <v>32</v>
      </c>
      <c r="C481" s="5">
        <v>4.82</v>
      </c>
      <c r="D481" s="7">
        <v>66</v>
      </c>
      <c r="E481" s="6">
        <v>3.68</v>
      </c>
      <c r="F481">
        <v>97</v>
      </c>
      <c r="G481" s="3">
        <v>45006.652777777781</v>
      </c>
      <c r="H481" s="3">
        <v>45006.698611111111</v>
      </c>
      <c r="I481" s="3">
        <v>45006.655555555553</v>
      </c>
      <c r="J481" s="3">
        <v>45006.701388888891</v>
      </c>
      <c r="K481" t="s">
        <v>16</v>
      </c>
      <c r="L481" t="s">
        <v>28</v>
      </c>
      <c r="M481" t="str">
        <f>VLOOKUP(Table1[[#This Row],[Job_Status]],$V$2:$W$4,2,FALSE)</f>
        <v>Good</v>
      </c>
      <c r="N481" s="7">
        <f>VLOOKUP(Table1[[#This Row],[Job_Status]],$V$2:$X$4,3,FALSE)</f>
        <v>0</v>
      </c>
    </row>
    <row r="482" spans="1:14" x14ac:dyDescent="0.3">
      <c r="A482" t="s">
        <v>14</v>
      </c>
      <c r="B482" t="s">
        <v>15</v>
      </c>
      <c r="C482" s="5">
        <v>2.2999999999999998</v>
      </c>
      <c r="D482" s="7">
        <v>54</v>
      </c>
      <c r="E482" s="6">
        <v>5.21</v>
      </c>
      <c r="F482">
        <v>81</v>
      </c>
      <c r="G482" s="3">
        <v>45006.659722222219</v>
      </c>
      <c r="H482" s="3">
        <v>45006.697222222225</v>
      </c>
      <c r="I482" s="3">
        <v>45006.65625</v>
      </c>
      <c r="J482" s="3">
        <v>45006.693749999999</v>
      </c>
      <c r="K482" t="s">
        <v>16</v>
      </c>
      <c r="L482" t="s">
        <v>20</v>
      </c>
      <c r="M482" t="str">
        <f>VLOOKUP(Table1[[#This Row],[Job_Status]],$V$2:$W$4,2,FALSE)</f>
        <v>Good</v>
      </c>
      <c r="N482" s="7">
        <f>VLOOKUP(Table1[[#This Row],[Job_Status]],$V$2:$X$4,3,FALSE)</f>
        <v>0</v>
      </c>
    </row>
    <row r="483" spans="1:14" x14ac:dyDescent="0.3">
      <c r="A483" t="s">
        <v>14</v>
      </c>
      <c r="B483" t="s">
        <v>15</v>
      </c>
      <c r="C483" s="5">
        <v>1.84</v>
      </c>
      <c r="D483" s="7">
        <v>38</v>
      </c>
      <c r="E483" s="6">
        <v>8.81</v>
      </c>
      <c r="F483">
        <v>80</v>
      </c>
      <c r="G483" s="3">
        <v>45006.666666666664</v>
      </c>
      <c r="H483" s="3">
        <v>45006.693055555559</v>
      </c>
      <c r="I483" s="3">
        <v>45006.680555555555</v>
      </c>
      <c r="J483" s="3">
        <v>45006.706944444442</v>
      </c>
      <c r="K483" t="s">
        <v>19</v>
      </c>
      <c r="L483" t="s">
        <v>20</v>
      </c>
      <c r="M483" t="str">
        <f>VLOOKUP(Table1[[#This Row],[Job_Status]],$V$2:$W$4,2,FALSE)</f>
        <v>Good</v>
      </c>
      <c r="N483" s="7">
        <f>VLOOKUP(Table1[[#This Row],[Job_Status]],$V$2:$X$4,3,FALSE)</f>
        <v>0</v>
      </c>
    </row>
    <row r="484" spans="1:14" x14ac:dyDescent="0.3">
      <c r="A484" t="s">
        <v>30</v>
      </c>
      <c r="B484" t="s">
        <v>23</v>
      </c>
      <c r="C484" s="5">
        <v>2.88</v>
      </c>
      <c r="D484" s="7">
        <v>73</v>
      </c>
      <c r="E484" s="6">
        <v>5.99</v>
      </c>
      <c r="F484">
        <v>91</v>
      </c>
      <c r="G484" s="3">
        <v>45006.673611111109</v>
      </c>
      <c r="H484" s="3">
        <v>45006.724305555559</v>
      </c>
      <c r="I484" s="3">
        <v>45006.675000000003</v>
      </c>
      <c r="J484" s="3">
        <v>45006.725694444445</v>
      </c>
      <c r="K484" t="s">
        <v>16</v>
      </c>
      <c r="L484" t="s">
        <v>28</v>
      </c>
      <c r="M484" t="str">
        <f>VLOOKUP(Table1[[#This Row],[Job_Status]],$V$2:$W$4,2,FALSE)</f>
        <v>Good</v>
      </c>
      <c r="N484" s="7">
        <f>VLOOKUP(Table1[[#This Row],[Job_Status]],$V$2:$X$4,3,FALSE)</f>
        <v>0</v>
      </c>
    </row>
    <row r="485" spans="1:14" x14ac:dyDescent="0.3">
      <c r="A485" t="s">
        <v>40</v>
      </c>
      <c r="B485" t="s">
        <v>32</v>
      </c>
      <c r="C485" s="5">
        <v>4</v>
      </c>
      <c r="D485" s="7">
        <v>33</v>
      </c>
      <c r="E485" s="6">
        <v>3.04</v>
      </c>
      <c r="F485">
        <v>83</v>
      </c>
      <c r="G485" s="3">
        <v>45006.680555555555</v>
      </c>
      <c r="H485" s="3">
        <v>45006.703472222223</v>
      </c>
      <c r="I485" s="3">
        <v>45006.678472222222</v>
      </c>
      <c r="J485" s="3">
        <v>45006.701388888891</v>
      </c>
      <c r="K485" t="s">
        <v>16</v>
      </c>
      <c r="L485" t="s">
        <v>20</v>
      </c>
      <c r="M485" t="str">
        <f>VLOOKUP(Table1[[#This Row],[Job_Status]],$V$2:$W$4,2,FALSE)</f>
        <v>Good</v>
      </c>
      <c r="N485" s="7">
        <f>VLOOKUP(Table1[[#This Row],[Job_Status]],$V$2:$X$4,3,FALSE)</f>
        <v>0</v>
      </c>
    </row>
    <row r="486" spans="1:14" x14ac:dyDescent="0.3">
      <c r="A486" t="s">
        <v>22</v>
      </c>
      <c r="B486" t="s">
        <v>23</v>
      </c>
      <c r="C486" s="5">
        <v>1.43</v>
      </c>
      <c r="D486" s="7">
        <v>111</v>
      </c>
      <c r="E486" s="6">
        <v>6.81</v>
      </c>
      <c r="F486">
        <v>90</v>
      </c>
      <c r="G486" s="3">
        <v>45006.6875</v>
      </c>
      <c r="H486" s="3">
        <v>45006.76458333333</v>
      </c>
      <c r="I486" s="3">
        <v>45006.684027777781</v>
      </c>
      <c r="J486" s="3">
        <v>45006.761111111111</v>
      </c>
      <c r="K486" t="s">
        <v>16</v>
      </c>
      <c r="L486" t="s">
        <v>20</v>
      </c>
      <c r="M486" t="str">
        <f>VLOOKUP(Table1[[#This Row],[Job_Status]],$V$2:$W$4,2,FALSE)</f>
        <v>Good</v>
      </c>
      <c r="N486" s="7">
        <f>VLOOKUP(Table1[[#This Row],[Job_Status]],$V$2:$X$4,3,FALSE)</f>
        <v>0</v>
      </c>
    </row>
    <row r="487" spans="1:14" x14ac:dyDescent="0.3">
      <c r="A487" t="s">
        <v>40</v>
      </c>
      <c r="B487" t="s">
        <v>27</v>
      </c>
      <c r="C487" s="5">
        <v>3.38</v>
      </c>
      <c r="D487" s="7">
        <v>34</v>
      </c>
      <c r="E487" s="6">
        <v>9</v>
      </c>
      <c r="F487">
        <v>95</v>
      </c>
      <c r="G487" s="3">
        <v>45006.694444444445</v>
      </c>
      <c r="H487" s="3">
        <v>45006.718055555553</v>
      </c>
      <c r="I487" s="3">
        <v>45006.691666666666</v>
      </c>
      <c r="J487" s="3">
        <v>45006.715277777781</v>
      </c>
      <c r="K487" t="s">
        <v>16</v>
      </c>
      <c r="L487" t="s">
        <v>20</v>
      </c>
      <c r="M487" t="str">
        <f>VLOOKUP(Table1[[#This Row],[Job_Status]],$V$2:$W$4,2,FALSE)</f>
        <v>Good</v>
      </c>
      <c r="N487" s="7">
        <f>VLOOKUP(Table1[[#This Row],[Job_Status]],$V$2:$X$4,3,FALSE)</f>
        <v>0</v>
      </c>
    </row>
    <row r="488" spans="1:14" x14ac:dyDescent="0.3">
      <c r="A488" t="s">
        <v>40</v>
      </c>
      <c r="B488" t="s">
        <v>15</v>
      </c>
      <c r="C488" s="5">
        <v>2.91</v>
      </c>
      <c r="D488" s="7">
        <v>53</v>
      </c>
      <c r="E488" s="6">
        <v>8.1199999999999992</v>
      </c>
      <c r="F488">
        <v>84</v>
      </c>
      <c r="G488" s="3">
        <v>45006.701388888891</v>
      </c>
      <c r="H488" s="3">
        <v>45006.738194444442</v>
      </c>
      <c r="I488" s="3">
        <v>45006.7</v>
      </c>
      <c r="J488" s="3">
        <v>45006.736805555556</v>
      </c>
      <c r="K488" t="s">
        <v>16</v>
      </c>
      <c r="L488" t="s">
        <v>20</v>
      </c>
      <c r="M488" t="str">
        <f>VLOOKUP(Table1[[#This Row],[Job_Status]],$V$2:$W$4,2,FALSE)</f>
        <v>Good</v>
      </c>
      <c r="N488" s="7">
        <f>VLOOKUP(Table1[[#This Row],[Job_Status]],$V$2:$X$4,3,FALSE)</f>
        <v>0</v>
      </c>
    </row>
    <row r="489" spans="1:14" x14ac:dyDescent="0.3">
      <c r="A489" t="s">
        <v>14</v>
      </c>
      <c r="B489" t="s">
        <v>27</v>
      </c>
      <c r="C489" s="5">
        <v>3.23</v>
      </c>
      <c r="D489" s="7">
        <v>100</v>
      </c>
      <c r="E489" s="6">
        <v>9.2200000000000006</v>
      </c>
      <c r="F489">
        <v>93</v>
      </c>
      <c r="G489" s="3">
        <v>45006.708333333336</v>
      </c>
      <c r="H489" s="3">
        <v>45006.777777777781</v>
      </c>
      <c r="I489" s="3">
        <v>45006.727083333331</v>
      </c>
      <c r="J489" s="3">
        <v>45006.796527777777</v>
      </c>
      <c r="K489" t="s">
        <v>19</v>
      </c>
      <c r="L489" t="s">
        <v>20</v>
      </c>
      <c r="M489" t="str">
        <f>VLOOKUP(Table1[[#This Row],[Job_Status]],$V$2:$W$4,2,FALSE)</f>
        <v>Good</v>
      </c>
      <c r="N489" s="7">
        <f>VLOOKUP(Table1[[#This Row],[Job_Status]],$V$2:$X$4,3,FALSE)</f>
        <v>0</v>
      </c>
    </row>
    <row r="490" spans="1:14" x14ac:dyDescent="0.3">
      <c r="A490" t="s">
        <v>34</v>
      </c>
      <c r="B490" t="s">
        <v>32</v>
      </c>
      <c r="C490" s="5">
        <v>2.1</v>
      </c>
      <c r="D490" s="7">
        <v>95</v>
      </c>
      <c r="E490" s="6">
        <v>5.58</v>
      </c>
      <c r="F490">
        <v>92</v>
      </c>
      <c r="G490" s="3">
        <v>45006.715277777781</v>
      </c>
      <c r="H490" s="3">
        <v>45006.78125</v>
      </c>
      <c r="I490" s="3">
        <v>45006.71875</v>
      </c>
      <c r="J490" s="3">
        <v>45006.784722222219</v>
      </c>
      <c r="K490" t="s">
        <v>16</v>
      </c>
      <c r="L490" t="s">
        <v>28</v>
      </c>
      <c r="M490" t="str">
        <f>VLOOKUP(Table1[[#This Row],[Job_Status]],$V$2:$W$4,2,FALSE)</f>
        <v>Good</v>
      </c>
      <c r="N490" s="7">
        <f>VLOOKUP(Table1[[#This Row],[Job_Status]],$V$2:$X$4,3,FALSE)</f>
        <v>0</v>
      </c>
    </row>
    <row r="491" spans="1:14" x14ac:dyDescent="0.3">
      <c r="A491" t="s">
        <v>22</v>
      </c>
      <c r="B491" t="s">
        <v>27</v>
      </c>
      <c r="C491" s="5">
        <v>1.82</v>
      </c>
      <c r="D491" s="7">
        <v>37</v>
      </c>
      <c r="E491" s="6">
        <v>4.17</v>
      </c>
      <c r="F491">
        <v>93</v>
      </c>
      <c r="G491" s="3">
        <v>45006.722222222219</v>
      </c>
      <c r="H491" s="3">
        <v>45006.747916666667</v>
      </c>
      <c r="I491" s="3">
        <v>45006.723611111112</v>
      </c>
      <c r="J491" s="3">
        <v>45006.749305555553</v>
      </c>
      <c r="K491" t="s">
        <v>16</v>
      </c>
      <c r="L491" t="s">
        <v>28</v>
      </c>
      <c r="M491" t="str">
        <f>VLOOKUP(Table1[[#This Row],[Job_Status]],$V$2:$W$4,2,FALSE)</f>
        <v>Good</v>
      </c>
      <c r="N491" s="7">
        <f>VLOOKUP(Table1[[#This Row],[Job_Status]],$V$2:$X$4,3,FALSE)</f>
        <v>0</v>
      </c>
    </row>
    <row r="492" spans="1:14" x14ac:dyDescent="0.3">
      <c r="A492" t="s">
        <v>34</v>
      </c>
      <c r="B492" t="s">
        <v>15</v>
      </c>
      <c r="C492" s="5">
        <v>1.69</v>
      </c>
      <c r="D492" s="7">
        <v>81</v>
      </c>
      <c r="E492" s="6">
        <v>5.42</v>
      </c>
      <c r="F492">
        <v>95</v>
      </c>
      <c r="G492" s="3">
        <v>45006.729166666664</v>
      </c>
      <c r="H492" s="3">
        <v>45006.785416666666</v>
      </c>
      <c r="I492" s="3">
        <v>45006.729861111111</v>
      </c>
      <c r="J492" s="3">
        <v>45006.786111111112</v>
      </c>
      <c r="K492" t="s">
        <v>16</v>
      </c>
      <c r="L492" t="s">
        <v>28</v>
      </c>
      <c r="M492" t="str">
        <f>VLOOKUP(Table1[[#This Row],[Job_Status]],$V$2:$W$4,2,FALSE)</f>
        <v>Good</v>
      </c>
      <c r="N492" s="7">
        <f>VLOOKUP(Table1[[#This Row],[Job_Status]],$V$2:$X$4,3,FALSE)</f>
        <v>0</v>
      </c>
    </row>
    <row r="493" spans="1:14" x14ac:dyDescent="0.3">
      <c r="A493" t="s">
        <v>14</v>
      </c>
      <c r="B493" t="s">
        <v>32</v>
      </c>
      <c r="C493" s="5">
        <v>3.67</v>
      </c>
      <c r="D493" s="7">
        <v>36</v>
      </c>
      <c r="E493" s="6">
        <v>13.87</v>
      </c>
      <c r="F493">
        <v>91</v>
      </c>
      <c r="G493" s="3">
        <v>45006.736111111109</v>
      </c>
      <c r="H493" s="3">
        <v>45006.761111111111</v>
      </c>
      <c r="I493" s="3">
        <v>45006.736111111109</v>
      </c>
      <c r="J493" s="3">
        <v>45006.761111111111</v>
      </c>
      <c r="K493" t="s">
        <v>16</v>
      </c>
      <c r="L493" t="s">
        <v>17</v>
      </c>
      <c r="M493" t="str">
        <f>VLOOKUP(Table1[[#This Row],[Job_Status]],$V$2:$W$4,2,FALSE)</f>
        <v>Good</v>
      </c>
      <c r="N493" s="7">
        <f>VLOOKUP(Table1[[#This Row],[Job_Status]],$V$2:$X$4,3,FALSE)</f>
        <v>0</v>
      </c>
    </row>
    <row r="494" spans="1:14" x14ac:dyDescent="0.3">
      <c r="A494" t="s">
        <v>22</v>
      </c>
      <c r="B494" t="s">
        <v>23</v>
      </c>
      <c r="C494" s="5">
        <v>3.69</v>
      </c>
      <c r="D494" s="7">
        <v>65</v>
      </c>
      <c r="E494" s="6">
        <v>5.53</v>
      </c>
      <c r="F494">
        <v>91</v>
      </c>
      <c r="G494" s="3">
        <v>45006.743055555555</v>
      </c>
      <c r="H494" s="3">
        <v>45006.788194444445</v>
      </c>
      <c r="I494" s="3">
        <v>45006.744444444441</v>
      </c>
      <c r="J494" s="3">
        <v>45006.789583333331</v>
      </c>
      <c r="K494" t="s">
        <v>16</v>
      </c>
      <c r="L494" t="s">
        <v>28</v>
      </c>
      <c r="M494" t="str">
        <f>VLOOKUP(Table1[[#This Row],[Job_Status]],$V$2:$W$4,2,FALSE)</f>
        <v>Good</v>
      </c>
      <c r="N494" s="7">
        <f>VLOOKUP(Table1[[#This Row],[Job_Status]],$V$2:$X$4,3,FALSE)</f>
        <v>0</v>
      </c>
    </row>
    <row r="495" spans="1:14" x14ac:dyDescent="0.3">
      <c r="A495" t="s">
        <v>30</v>
      </c>
      <c r="B495" t="s">
        <v>23</v>
      </c>
      <c r="C495" s="5">
        <v>4.47</v>
      </c>
      <c r="D495" s="7">
        <v>100</v>
      </c>
      <c r="E495" s="6">
        <v>9.82</v>
      </c>
      <c r="F495">
        <v>81</v>
      </c>
      <c r="G495" s="3">
        <v>45006.75</v>
      </c>
      <c r="H495" s="3">
        <v>45006.819444444445</v>
      </c>
      <c r="I495" s="3">
        <v>45006.75277777778</v>
      </c>
      <c r="J495" s="3">
        <v>45006.822222222225</v>
      </c>
      <c r="K495" t="s">
        <v>16</v>
      </c>
      <c r="L495" t="s">
        <v>17</v>
      </c>
      <c r="M495" t="str">
        <f>VLOOKUP(Table1[[#This Row],[Job_Status]],$V$2:$W$4,2,FALSE)</f>
        <v>Good</v>
      </c>
      <c r="N495" s="7">
        <f>VLOOKUP(Table1[[#This Row],[Job_Status]],$V$2:$X$4,3,FALSE)</f>
        <v>0</v>
      </c>
    </row>
    <row r="496" spans="1:14" x14ac:dyDescent="0.3">
      <c r="A496" t="s">
        <v>34</v>
      </c>
      <c r="B496" t="s">
        <v>32</v>
      </c>
      <c r="C496" s="5">
        <v>1.21</v>
      </c>
      <c r="D496" s="7">
        <v>71</v>
      </c>
      <c r="E496" s="6">
        <v>6.85</v>
      </c>
      <c r="F496">
        <v>91</v>
      </c>
      <c r="G496" s="3">
        <v>45006.756944444445</v>
      </c>
      <c r="H496" s="3">
        <v>45006.806250000001</v>
      </c>
      <c r="I496" s="3">
        <v>45006.772916666669</v>
      </c>
      <c r="J496" s="3">
        <v>45006.822222222225</v>
      </c>
      <c r="K496" t="s">
        <v>19</v>
      </c>
      <c r="L496" t="s">
        <v>20</v>
      </c>
      <c r="M496" t="str">
        <f>VLOOKUP(Table1[[#This Row],[Job_Status]],$V$2:$W$4,2,FALSE)</f>
        <v>Good</v>
      </c>
      <c r="N496" s="7">
        <f>VLOOKUP(Table1[[#This Row],[Job_Status]],$V$2:$X$4,3,FALSE)</f>
        <v>0</v>
      </c>
    </row>
    <row r="497" spans="1:14" x14ac:dyDescent="0.3">
      <c r="A497" t="s">
        <v>14</v>
      </c>
      <c r="B497" t="s">
        <v>36</v>
      </c>
      <c r="C497" s="5">
        <v>2.42</v>
      </c>
      <c r="D497" s="7">
        <v>44</v>
      </c>
      <c r="E497" s="6">
        <v>6.16</v>
      </c>
      <c r="F497">
        <v>92</v>
      </c>
      <c r="G497" s="3">
        <v>45006.763888888891</v>
      </c>
      <c r="H497" s="3">
        <v>45006.794444444444</v>
      </c>
      <c r="I497" s="3">
        <v>45006.763888888891</v>
      </c>
      <c r="J497" s="3">
        <v>45006.794444444444</v>
      </c>
      <c r="K497" t="s">
        <v>16</v>
      </c>
      <c r="L497" t="s">
        <v>28</v>
      </c>
      <c r="M497" t="str">
        <f>VLOOKUP(Table1[[#This Row],[Job_Status]],$V$2:$W$4,2,FALSE)</f>
        <v>Good</v>
      </c>
      <c r="N497" s="7">
        <f>VLOOKUP(Table1[[#This Row],[Job_Status]],$V$2:$X$4,3,FALSE)</f>
        <v>0</v>
      </c>
    </row>
    <row r="498" spans="1:14" x14ac:dyDescent="0.3">
      <c r="A498" t="s">
        <v>22</v>
      </c>
      <c r="B498" t="s">
        <v>32</v>
      </c>
      <c r="C498" s="5">
        <v>3.58</v>
      </c>
      <c r="D498" s="7">
        <v>38</v>
      </c>
      <c r="E498" s="6">
        <v>8.3699999999999992</v>
      </c>
      <c r="F498">
        <v>81</v>
      </c>
      <c r="G498" s="3">
        <v>45006.770833333336</v>
      </c>
      <c r="H498" s="3">
        <v>45006.797222222223</v>
      </c>
      <c r="K498" t="s">
        <v>24</v>
      </c>
      <c r="L498" t="s">
        <v>20</v>
      </c>
      <c r="M498" t="str">
        <f>VLOOKUP(Table1[[#This Row],[Job_Status]],$V$2:$W$4,2,FALSE)</f>
        <v>Defect</v>
      </c>
      <c r="N498" s="7">
        <f>VLOOKUP(Table1[[#This Row],[Job_Status]],$V$2:$X$4,3,FALSE)</f>
        <v>100</v>
      </c>
    </row>
    <row r="499" spans="1:14" x14ac:dyDescent="0.3">
      <c r="A499" t="s">
        <v>14</v>
      </c>
      <c r="B499" t="s">
        <v>36</v>
      </c>
      <c r="C499" s="5">
        <v>4.9400000000000004</v>
      </c>
      <c r="D499" s="7">
        <v>23</v>
      </c>
      <c r="E499" s="6">
        <v>10.07</v>
      </c>
      <c r="F499">
        <v>92</v>
      </c>
      <c r="G499" s="3">
        <v>45006.777777777781</v>
      </c>
      <c r="H499" s="3">
        <v>45006.793749999997</v>
      </c>
      <c r="I499" s="3">
        <v>45006.77847222222</v>
      </c>
      <c r="J499" s="3">
        <v>45006.794444444444</v>
      </c>
      <c r="K499" t="s">
        <v>16</v>
      </c>
      <c r="L499" t="s">
        <v>17</v>
      </c>
      <c r="M499" t="str">
        <f>VLOOKUP(Table1[[#This Row],[Job_Status]],$V$2:$W$4,2,FALSE)</f>
        <v>Good</v>
      </c>
      <c r="N499" s="7">
        <f>VLOOKUP(Table1[[#This Row],[Job_Status]],$V$2:$X$4,3,FALSE)</f>
        <v>0</v>
      </c>
    </row>
    <row r="500" spans="1:14" x14ac:dyDescent="0.3">
      <c r="A500" t="s">
        <v>14</v>
      </c>
      <c r="B500" t="s">
        <v>36</v>
      </c>
      <c r="C500" s="5">
        <v>2.27</v>
      </c>
      <c r="D500" s="7">
        <v>97</v>
      </c>
      <c r="E500" s="6">
        <v>8.17</v>
      </c>
      <c r="F500">
        <v>85</v>
      </c>
      <c r="G500" s="3">
        <v>45006.784722222219</v>
      </c>
      <c r="H500" s="3">
        <v>45006.852083333331</v>
      </c>
      <c r="I500" s="3">
        <v>45006.786805555559</v>
      </c>
      <c r="J500" s="3">
        <v>45006.854166666664</v>
      </c>
      <c r="K500" t="s">
        <v>16</v>
      </c>
      <c r="L500" t="s">
        <v>17</v>
      </c>
      <c r="M500" t="str">
        <f>VLOOKUP(Table1[[#This Row],[Job_Status]],$V$2:$W$4,2,FALSE)</f>
        <v>Good</v>
      </c>
      <c r="N500" s="7">
        <f>VLOOKUP(Table1[[#This Row],[Job_Status]],$V$2:$X$4,3,FALSE)</f>
        <v>0</v>
      </c>
    </row>
    <row r="501" spans="1:14" x14ac:dyDescent="0.3">
      <c r="A501" t="s">
        <v>34</v>
      </c>
      <c r="B501" t="s">
        <v>15</v>
      </c>
      <c r="C501" s="5">
        <v>4.3</v>
      </c>
      <c r="D501" s="7">
        <v>69</v>
      </c>
      <c r="E501" s="6">
        <v>8.5500000000000007</v>
      </c>
      <c r="F501">
        <v>88</v>
      </c>
      <c r="G501" s="3">
        <v>45006.791666666664</v>
      </c>
      <c r="H501" s="3">
        <v>45006.839583333334</v>
      </c>
      <c r="I501" s="3">
        <v>45006.794444444444</v>
      </c>
      <c r="J501" s="3">
        <v>45006.842361111114</v>
      </c>
      <c r="K501" t="s">
        <v>16</v>
      </c>
      <c r="L501" t="s">
        <v>17</v>
      </c>
      <c r="M501" t="str">
        <f>VLOOKUP(Table1[[#This Row],[Job_Status]],$V$2:$W$4,2,FALSE)</f>
        <v>Good</v>
      </c>
      <c r="N501" s="7">
        <f>VLOOKUP(Table1[[#This Row],[Job_Status]],$V$2:$X$4,3,FALSE)</f>
        <v>0</v>
      </c>
    </row>
    <row r="502" spans="1:14" x14ac:dyDescent="0.3">
      <c r="A502" t="s">
        <v>40</v>
      </c>
      <c r="B502" t="s">
        <v>23</v>
      </c>
      <c r="C502" s="5">
        <v>1.39</v>
      </c>
      <c r="D502" s="7">
        <v>48</v>
      </c>
      <c r="E502" s="6">
        <v>9.0500000000000007</v>
      </c>
      <c r="F502">
        <v>86</v>
      </c>
      <c r="G502" s="3">
        <v>45006.798611111109</v>
      </c>
      <c r="H502" s="3">
        <v>45006.831944444442</v>
      </c>
      <c r="K502" t="s">
        <v>24</v>
      </c>
      <c r="L502" t="s">
        <v>20</v>
      </c>
      <c r="M502" t="str">
        <f>VLOOKUP(Table1[[#This Row],[Job_Status]],$V$2:$W$4,2,FALSE)</f>
        <v>Defect</v>
      </c>
      <c r="N502" s="7">
        <f>VLOOKUP(Table1[[#This Row],[Job_Status]],$V$2:$X$4,3,FALSE)</f>
        <v>100</v>
      </c>
    </row>
    <row r="503" spans="1:14" x14ac:dyDescent="0.3">
      <c r="A503" t="s">
        <v>30</v>
      </c>
      <c r="B503" t="s">
        <v>27</v>
      </c>
      <c r="C503" s="5">
        <v>1.3</v>
      </c>
      <c r="D503" s="7">
        <v>48</v>
      </c>
      <c r="E503" s="6">
        <v>6.1</v>
      </c>
      <c r="F503">
        <v>91</v>
      </c>
      <c r="G503" s="3">
        <v>45006.805555555555</v>
      </c>
      <c r="H503" s="3">
        <v>45006.838888888888</v>
      </c>
      <c r="I503" s="3">
        <v>45006.805555555555</v>
      </c>
      <c r="J503" s="3">
        <v>45006.838888888888</v>
      </c>
      <c r="K503" t="s">
        <v>16</v>
      </c>
      <c r="L503" t="s">
        <v>28</v>
      </c>
      <c r="M503" t="str">
        <f>VLOOKUP(Table1[[#This Row],[Job_Status]],$V$2:$W$4,2,FALSE)</f>
        <v>Good</v>
      </c>
      <c r="N503" s="7">
        <f>VLOOKUP(Table1[[#This Row],[Job_Status]],$V$2:$X$4,3,FALSE)</f>
        <v>0</v>
      </c>
    </row>
    <row r="504" spans="1:14" x14ac:dyDescent="0.3">
      <c r="A504" t="s">
        <v>34</v>
      </c>
      <c r="B504" t="s">
        <v>32</v>
      </c>
      <c r="C504" s="5">
        <v>3.91</v>
      </c>
      <c r="D504" s="7">
        <v>91</v>
      </c>
      <c r="E504" s="6">
        <v>10.83</v>
      </c>
      <c r="F504">
        <v>92</v>
      </c>
      <c r="G504" s="3">
        <v>45006.8125</v>
      </c>
      <c r="H504" s="3">
        <v>45006.875694444447</v>
      </c>
      <c r="I504" s="3">
        <v>45006.82708333333</v>
      </c>
      <c r="J504" s="3">
        <v>45006.890277777777</v>
      </c>
      <c r="K504" t="s">
        <v>19</v>
      </c>
      <c r="L504" t="s">
        <v>20</v>
      </c>
      <c r="M504" t="str">
        <f>VLOOKUP(Table1[[#This Row],[Job_Status]],$V$2:$W$4,2,FALSE)</f>
        <v>Good</v>
      </c>
      <c r="N504" s="7">
        <f>VLOOKUP(Table1[[#This Row],[Job_Status]],$V$2:$X$4,3,FALSE)</f>
        <v>0</v>
      </c>
    </row>
    <row r="505" spans="1:14" x14ac:dyDescent="0.3">
      <c r="A505" t="s">
        <v>14</v>
      </c>
      <c r="B505" t="s">
        <v>23</v>
      </c>
      <c r="C505" s="5">
        <v>1.76</v>
      </c>
      <c r="D505" s="7">
        <v>90</v>
      </c>
      <c r="E505" s="6">
        <v>14.29</v>
      </c>
      <c r="F505">
        <v>83</v>
      </c>
      <c r="G505" s="3">
        <v>45006.819444444445</v>
      </c>
      <c r="H505" s="3">
        <v>45006.881944444445</v>
      </c>
      <c r="I505" s="3">
        <v>45006.818749999999</v>
      </c>
      <c r="J505" s="3">
        <v>45006.881249999999</v>
      </c>
      <c r="K505" t="s">
        <v>16</v>
      </c>
      <c r="L505" t="s">
        <v>20</v>
      </c>
      <c r="M505" t="str">
        <f>VLOOKUP(Table1[[#This Row],[Job_Status]],$V$2:$W$4,2,FALSE)</f>
        <v>Good</v>
      </c>
      <c r="N505" s="7">
        <f>VLOOKUP(Table1[[#This Row],[Job_Status]],$V$2:$X$4,3,FALSE)</f>
        <v>0</v>
      </c>
    </row>
    <row r="506" spans="1:14" x14ac:dyDescent="0.3">
      <c r="A506" t="s">
        <v>14</v>
      </c>
      <c r="B506" t="s">
        <v>27</v>
      </c>
      <c r="C506" s="5">
        <v>2.2200000000000002</v>
      </c>
      <c r="D506" s="7">
        <v>81</v>
      </c>
      <c r="E506" s="6">
        <v>13.88</v>
      </c>
      <c r="F506">
        <v>89</v>
      </c>
      <c r="G506" s="3">
        <v>45006.826388888891</v>
      </c>
      <c r="H506" s="3">
        <v>45006.882638888892</v>
      </c>
      <c r="I506" s="3">
        <v>45006.837500000001</v>
      </c>
      <c r="J506" s="3">
        <v>45006.893750000003</v>
      </c>
      <c r="K506" t="s">
        <v>19</v>
      </c>
      <c r="L506" t="s">
        <v>20</v>
      </c>
      <c r="M506" t="str">
        <f>VLOOKUP(Table1[[#This Row],[Job_Status]],$V$2:$W$4,2,FALSE)</f>
        <v>Good</v>
      </c>
      <c r="N506" s="7">
        <f>VLOOKUP(Table1[[#This Row],[Job_Status]],$V$2:$X$4,3,FALSE)</f>
        <v>0</v>
      </c>
    </row>
    <row r="507" spans="1:14" x14ac:dyDescent="0.3">
      <c r="A507" t="s">
        <v>30</v>
      </c>
      <c r="B507" t="s">
        <v>32</v>
      </c>
      <c r="C507" s="5">
        <v>1.28</v>
      </c>
      <c r="D507" s="7">
        <v>74</v>
      </c>
      <c r="E507" s="6">
        <v>13.58</v>
      </c>
      <c r="F507">
        <v>90</v>
      </c>
      <c r="G507" s="3">
        <v>45006.833333333336</v>
      </c>
      <c r="H507" s="3">
        <v>45006.884722222225</v>
      </c>
      <c r="I507" s="3">
        <v>45006.829861111109</v>
      </c>
      <c r="J507" s="3">
        <v>45006.881249999999</v>
      </c>
      <c r="K507" t="s">
        <v>16</v>
      </c>
      <c r="L507" t="s">
        <v>20</v>
      </c>
      <c r="M507" t="str">
        <f>VLOOKUP(Table1[[#This Row],[Job_Status]],$V$2:$W$4,2,FALSE)</f>
        <v>Good</v>
      </c>
      <c r="N507" s="7">
        <f>VLOOKUP(Table1[[#This Row],[Job_Status]],$V$2:$X$4,3,FALSE)</f>
        <v>0</v>
      </c>
    </row>
    <row r="508" spans="1:14" x14ac:dyDescent="0.3">
      <c r="A508" t="s">
        <v>34</v>
      </c>
      <c r="B508" t="s">
        <v>32</v>
      </c>
      <c r="C508" s="5">
        <v>3.94</v>
      </c>
      <c r="D508" s="7">
        <v>117</v>
      </c>
      <c r="E508" s="6">
        <v>8.99</v>
      </c>
      <c r="F508">
        <v>82</v>
      </c>
      <c r="G508" s="3">
        <v>45006.840277777781</v>
      </c>
      <c r="H508" s="3">
        <v>45006.921527777777</v>
      </c>
      <c r="I508" s="3">
        <v>45006.838888888888</v>
      </c>
      <c r="J508" s="3">
        <v>45006.920138888891</v>
      </c>
      <c r="K508" t="s">
        <v>16</v>
      </c>
      <c r="L508" t="s">
        <v>20</v>
      </c>
      <c r="M508" t="str">
        <f>VLOOKUP(Table1[[#This Row],[Job_Status]],$V$2:$W$4,2,FALSE)</f>
        <v>Good</v>
      </c>
      <c r="N508" s="7">
        <f>VLOOKUP(Table1[[#This Row],[Job_Status]],$V$2:$X$4,3,FALSE)</f>
        <v>0</v>
      </c>
    </row>
    <row r="509" spans="1:14" x14ac:dyDescent="0.3">
      <c r="A509" t="s">
        <v>14</v>
      </c>
      <c r="B509" t="s">
        <v>36</v>
      </c>
      <c r="C509" s="5">
        <v>1.45</v>
      </c>
      <c r="D509" s="7">
        <v>22</v>
      </c>
      <c r="E509" s="6">
        <v>14.51</v>
      </c>
      <c r="F509">
        <v>80</v>
      </c>
      <c r="G509" s="3">
        <v>45006.847222222219</v>
      </c>
      <c r="H509" s="3">
        <v>45006.862500000003</v>
      </c>
      <c r="I509" s="3">
        <v>45006.855555555558</v>
      </c>
      <c r="J509" s="3">
        <v>45006.870833333334</v>
      </c>
      <c r="K509" t="s">
        <v>19</v>
      </c>
      <c r="L509" t="s">
        <v>20</v>
      </c>
      <c r="M509" t="str">
        <f>VLOOKUP(Table1[[#This Row],[Job_Status]],$V$2:$W$4,2,FALSE)</f>
        <v>Good</v>
      </c>
      <c r="N509" s="7">
        <f>VLOOKUP(Table1[[#This Row],[Job_Status]],$V$2:$X$4,3,FALSE)</f>
        <v>0</v>
      </c>
    </row>
    <row r="510" spans="1:14" x14ac:dyDescent="0.3">
      <c r="A510" t="s">
        <v>22</v>
      </c>
      <c r="B510" t="s">
        <v>15</v>
      </c>
      <c r="C510" s="5">
        <v>2.59</v>
      </c>
      <c r="D510" s="7">
        <v>77</v>
      </c>
      <c r="E510" s="6">
        <v>6.72</v>
      </c>
      <c r="F510">
        <v>81</v>
      </c>
      <c r="G510" s="3">
        <v>45006.854166666664</v>
      </c>
      <c r="H510" s="3">
        <v>45006.907638888886</v>
      </c>
      <c r="I510" s="3">
        <v>45006.873611111114</v>
      </c>
      <c r="J510" s="3">
        <v>45006.927083333336</v>
      </c>
      <c r="K510" t="s">
        <v>19</v>
      </c>
      <c r="L510" t="s">
        <v>20</v>
      </c>
      <c r="M510" t="str">
        <f>VLOOKUP(Table1[[#This Row],[Job_Status]],$V$2:$W$4,2,FALSE)</f>
        <v>Good</v>
      </c>
      <c r="N510" s="7">
        <f>VLOOKUP(Table1[[#This Row],[Job_Status]],$V$2:$X$4,3,FALSE)</f>
        <v>0</v>
      </c>
    </row>
    <row r="511" spans="1:14" x14ac:dyDescent="0.3">
      <c r="A511" t="s">
        <v>40</v>
      </c>
      <c r="B511" t="s">
        <v>32</v>
      </c>
      <c r="C511" s="5">
        <v>3.39</v>
      </c>
      <c r="D511" s="7">
        <v>103</v>
      </c>
      <c r="E511" s="6">
        <v>9.1300000000000008</v>
      </c>
      <c r="F511">
        <v>86</v>
      </c>
      <c r="G511" s="3">
        <v>45006.861111111109</v>
      </c>
      <c r="H511" s="3">
        <v>45006.932638888888</v>
      </c>
      <c r="I511" s="3">
        <v>45006.861111111109</v>
      </c>
      <c r="J511" s="3">
        <v>45006.932638888888</v>
      </c>
      <c r="K511" t="s">
        <v>16</v>
      </c>
      <c r="L511" t="s">
        <v>28</v>
      </c>
      <c r="M511" t="str">
        <f>VLOOKUP(Table1[[#This Row],[Job_Status]],$V$2:$W$4,2,FALSE)</f>
        <v>Good</v>
      </c>
      <c r="N511" s="7">
        <f>VLOOKUP(Table1[[#This Row],[Job_Status]],$V$2:$X$4,3,FALSE)</f>
        <v>0</v>
      </c>
    </row>
    <row r="512" spans="1:14" x14ac:dyDescent="0.3">
      <c r="A512" t="s">
        <v>14</v>
      </c>
      <c r="B512" t="s">
        <v>36</v>
      </c>
      <c r="C512" s="5">
        <v>4.26</v>
      </c>
      <c r="D512" s="7">
        <v>61</v>
      </c>
      <c r="E512" s="6">
        <v>14.14</v>
      </c>
      <c r="F512">
        <v>89</v>
      </c>
      <c r="G512" s="3">
        <v>45006.868055555555</v>
      </c>
      <c r="H512" s="3">
        <v>45006.910416666666</v>
      </c>
      <c r="K512" t="s">
        <v>24</v>
      </c>
      <c r="L512" t="s">
        <v>20</v>
      </c>
      <c r="M512" t="str">
        <f>VLOOKUP(Table1[[#This Row],[Job_Status]],$V$2:$W$4,2,FALSE)</f>
        <v>Defect</v>
      </c>
      <c r="N512" s="7">
        <f>VLOOKUP(Table1[[#This Row],[Job_Status]],$V$2:$X$4,3,FALSE)</f>
        <v>100</v>
      </c>
    </row>
    <row r="513" spans="1:14" x14ac:dyDescent="0.3">
      <c r="A513" t="s">
        <v>30</v>
      </c>
      <c r="B513" t="s">
        <v>15</v>
      </c>
      <c r="C513" s="5">
        <v>1.93</v>
      </c>
      <c r="D513" s="7">
        <v>74</v>
      </c>
      <c r="E513" s="6">
        <v>9.07</v>
      </c>
      <c r="F513">
        <v>84</v>
      </c>
      <c r="G513" s="3">
        <v>45006.875</v>
      </c>
      <c r="H513" s="3">
        <v>45006.926388888889</v>
      </c>
      <c r="I513" s="3">
        <v>45006.874305555553</v>
      </c>
      <c r="J513" s="3">
        <v>45006.925694444442</v>
      </c>
      <c r="K513" t="s">
        <v>16</v>
      </c>
      <c r="L513" t="s">
        <v>20</v>
      </c>
      <c r="M513" t="str">
        <f>VLOOKUP(Table1[[#This Row],[Job_Status]],$V$2:$W$4,2,FALSE)</f>
        <v>Good</v>
      </c>
      <c r="N513" s="7">
        <f>VLOOKUP(Table1[[#This Row],[Job_Status]],$V$2:$X$4,3,FALSE)</f>
        <v>0</v>
      </c>
    </row>
    <row r="514" spans="1:14" x14ac:dyDescent="0.3">
      <c r="A514" t="s">
        <v>34</v>
      </c>
      <c r="B514" t="s">
        <v>23</v>
      </c>
      <c r="C514" s="5">
        <v>4.9000000000000004</v>
      </c>
      <c r="D514" s="7">
        <v>98</v>
      </c>
      <c r="E514" s="6">
        <v>4.2699999999999996</v>
      </c>
      <c r="F514">
        <v>90</v>
      </c>
      <c r="G514" s="3">
        <v>45006.881944444445</v>
      </c>
      <c r="H514" s="3">
        <v>45006.95</v>
      </c>
      <c r="I514" s="3">
        <v>45006.878472222219</v>
      </c>
      <c r="J514" s="3">
        <v>45006.946527777778</v>
      </c>
      <c r="K514" t="s">
        <v>16</v>
      </c>
      <c r="L514" t="s">
        <v>20</v>
      </c>
      <c r="M514" t="str">
        <f>VLOOKUP(Table1[[#This Row],[Job_Status]],$V$2:$W$4,2,FALSE)</f>
        <v>Good</v>
      </c>
      <c r="N514" s="7">
        <f>VLOOKUP(Table1[[#This Row],[Job_Status]],$V$2:$X$4,3,FALSE)</f>
        <v>0</v>
      </c>
    </row>
    <row r="515" spans="1:14" x14ac:dyDescent="0.3">
      <c r="A515" t="s">
        <v>40</v>
      </c>
      <c r="B515" t="s">
        <v>27</v>
      </c>
      <c r="C515" s="5">
        <v>2.5499999999999998</v>
      </c>
      <c r="D515" s="7">
        <v>72</v>
      </c>
      <c r="E515" s="6">
        <v>14.65</v>
      </c>
      <c r="F515">
        <v>95</v>
      </c>
      <c r="G515" s="3">
        <v>45006.888888888891</v>
      </c>
      <c r="H515" s="3">
        <v>45006.938888888886</v>
      </c>
      <c r="K515" t="s">
        <v>24</v>
      </c>
      <c r="L515" t="s">
        <v>20</v>
      </c>
      <c r="M515" t="str">
        <f>VLOOKUP(Table1[[#This Row],[Job_Status]],$V$2:$W$4,2,FALSE)</f>
        <v>Defect</v>
      </c>
      <c r="N515" s="7">
        <f>VLOOKUP(Table1[[#This Row],[Job_Status]],$V$2:$X$4,3,FALSE)</f>
        <v>100</v>
      </c>
    </row>
    <row r="516" spans="1:14" x14ac:dyDescent="0.3">
      <c r="A516" t="s">
        <v>14</v>
      </c>
      <c r="B516" t="s">
        <v>15</v>
      </c>
      <c r="C516" s="5">
        <v>1.84</v>
      </c>
      <c r="D516" s="7">
        <v>116</v>
      </c>
      <c r="E516" s="6">
        <v>9.83</v>
      </c>
      <c r="F516">
        <v>87</v>
      </c>
      <c r="G516" s="3">
        <v>45006.895833333336</v>
      </c>
      <c r="H516" s="3">
        <v>45006.976388888892</v>
      </c>
      <c r="K516" t="s">
        <v>24</v>
      </c>
      <c r="L516" t="s">
        <v>20</v>
      </c>
      <c r="M516" t="str">
        <f>VLOOKUP(Table1[[#This Row],[Job_Status]],$V$2:$W$4,2,FALSE)</f>
        <v>Defect</v>
      </c>
      <c r="N516" s="7">
        <f>VLOOKUP(Table1[[#This Row],[Job_Status]],$V$2:$X$4,3,FALSE)</f>
        <v>100</v>
      </c>
    </row>
    <row r="517" spans="1:14" x14ac:dyDescent="0.3">
      <c r="A517" t="s">
        <v>40</v>
      </c>
      <c r="B517" t="s">
        <v>27</v>
      </c>
      <c r="C517" s="5">
        <v>1.54</v>
      </c>
      <c r="D517" s="7">
        <v>40</v>
      </c>
      <c r="E517" s="6">
        <v>4.16</v>
      </c>
      <c r="F517">
        <v>88</v>
      </c>
      <c r="G517" s="3">
        <v>45006.902777777781</v>
      </c>
      <c r="H517" s="3">
        <v>45006.930555555555</v>
      </c>
      <c r="I517" s="3">
        <v>45006.921527777777</v>
      </c>
      <c r="J517" s="3">
        <v>45006.949305555558</v>
      </c>
      <c r="K517" t="s">
        <v>19</v>
      </c>
      <c r="L517" t="s">
        <v>20</v>
      </c>
      <c r="M517" t="str">
        <f>VLOOKUP(Table1[[#This Row],[Job_Status]],$V$2:$W$4,2,FALSE)</f>
        <v>Good</v>
      </c>
      <c r="N517" s="7">
        <f>VLOOKUP(Table1[[#This Row],[Job_Status]],$V$2:$X$4,3,FALSE)</f>
        <v>0</v>
      </c>
    </row>
    <row r="518" spans="1:14" x14ac:dyDescent="0.3">
      <c r="A518" t="s">
        <v>14</v>
      </c>
      <c r="B518" t="s">
        <v>36</v>
      </c>
      <c r="C518" s="5">
        <v>4.83</v>
      </c>
      <c r="D518" s="7">
        <v>50</v>
      </c>
      <c r="E518" s="6">
        <v>4.7699999999999996</v>
      </c>
      <c r="F518">
        <v>90</v>
      </c>
      <c r="G518" s="3">
        <v>45006.909722222219</v>
      </c>
      <c r="H518" s="3">
        <v>45006.944444444445</v>
      </c>
      <c r="K518" t="s">
        <v>24</v>
      </c>
      <c r="L518" t="s">
        <v>20</v>
      </c>
      <c r="M518" t="str">
        <f>VLOOKUP(Table1[[#This Row],[Job_Status]],$V$2:$W$4,2,FALSE)</f>
        <v>Defect</v>
      </c>
      <c r="N518" s="7">
        <f>VLOOKUP(Table1[[#This Row],[Job_Status]],$V$2:$X$4,3,FALSE)</f>
        <v>100</v>
      </c>
    </row>
    <row r="519" spans="1:14" x14ac:dyDescent="0.3">
      <c r="A519" t="s">
        <v>22</v>
      </c>
      <c r="B519" t="s">
        <v>27</v>
      </c>
      <c r="C519" s="5">
        <v>4.6399999999999997</v>
      </c>
      <c r="D519" s="7">
        <v>66</v>
      </c>
      <c r="E519" s="6">
        <v>14.84</v>
      </c>
      <c r="F519">
        <v>84</v>
      </c>
      <c r="G519" s="3">
        <v>45006.916666666664</v>
      </c>
      <c r="H519" s="3">
        <v>45006.962500000001</v>
      </c>
      <c r="I519" s="3">
        <v>45006.915972222225</v>
      </c>
      <c r="J519" s="3">
        <v>45006.961805555555</v>
      </c>
      <c r="K519" t="s">
        <v>16</v>
      </c>
      <c r="L519" t="s">
        <v>20</v>
      </c>
      <c r="M519" t="str">
        <f>VLOOKUP(Table1[[#This Row],[Job_Status]],$V$2:$W$4,2,FALSE)</f>
        <v>Good</v>
      </c>
      <c r="N519" s="7">
        <f>VLOOKUP(Table1[[#This Row],[Job_Status]],$V$2:$X$4,3,FALSE)</f>
        <v>0</v>
      </c>
    </row>
    <row r="520" spans="1:14" x14ac:dyDescent="0.3">
      <c r="A520" t="s">
        <v>34</v>
      </c>
      <c r="B520" t="s">
        <v>27</v>
      </c>
      <c r="C520" s="5">
        <v>2.64</v>
      </c>
      <c r="D520" s="7">
        <v>61</v>
      </c>
      <c r="E520" s="6">
        <v>4.09</v>
      </c>
      <c r="F520">
        <v>87</v>
      </c>
      <c r="G520" s="3">
        <v>45006.923611111109</v>
      </c>
      <c r="H520" s="3">
        <v>45006.96597222222</v>
      </c>
      <c r="I520" s="3">
        <v>45006.921527777777</v>
      </c>
      <c r="J520" s="3">
        <v>45006.963888888888</v>
      </c>
      <c r="K520" t="s">
        <v>16</v>
      </c>
      <c r="L520" t="s">
        <v>20</v>
      </c>
      <c r="M520" t="str">
        <f>VLOOKUP(Table1[[#This Row],[Job_Status]],$V$2:$W$4,2,FALSE)</f>
        <v>Good</v>
      </c>
      <c r="N520" s="7">
        <f>VLOOKUP(Table1[[#This Row],[Job_Status]],$V$2:$X$4,3,FALSE)</f>
        <v>0</v>
      </c>
    </row>
    <row r="521" spans="1:14" x14ac:dyDescent="0.3">
      <c r="A521" t="s">
        <v>30</v>
      </c>
      <c r="B521" t="s">
        <v>36</v>
      </c>
      <c r="C521" s="5">
        <v>3.6</v>
      </c>
      <c r="D521" s="7">
        <v>96</v>
      </c>
      <c r="E521" s="6">
        <v>14.32</v>
      </c>
      <c r="F521">
        <v>89</v>
      </c>
      <c r="G521" s="3">
        <v>45006.930555555555</v>
      </c>
      <c r="H521" s="3">
        <v>45006.99722222222</v>
      </c>
      <c r="I521" s="3">
        <v>45006.931944444441</v>
      </c>
      <c r="J521" s="3">
        <v>45006.998611111114</v>
      </c>
      <c r="K521" t="s">
        <v>16</v>
      </c>
      <c r="L521" t="s">
        <v>17</v>
      </c>
      <c r="M521" t="str">
        <f>VLOOKUP(Table1[[#This Row],[Job_Status]],$V$2:$W$4,2,FALSE)</f>
        <v>Good</v>
      </c>
      <c r="N521" s="7">
        <f>VLOOKUP(Table1[[#This Row],[Job_Status]],$V$2:$X$4,3,FALSE)</f>
        <v>0</v>
      </c>
    </row>
    <row r="522" spans="1:14" x14ac:dyDescent="0.3">
      <c r="A522" t="s">
        <v>22</v>
      </c>
      <c r="B522" t="s">
        <v>23</v>
      </c>
      <c r="C522" s="5">
        <v>3.26</v>
      </c>
      <c r="D522" s="7">
        <v>34</v>
      </c>
      <c r="E522" s="6">
        <v>6.56</v>
      </c>
      <c r="F522">
        <v>94</v>
      </c>
      <c r="G522" s="3">
        <v>45006.9375</v>
      </c>
      <c r="H522" s="3">
        <v>45006.961111111108</v>
      </c>
      <c r="K522" t="s">
        <v>24</v>
      </c>
      <c r="L522" t="s">
        <v>20</v>
      </c>
      <c r="M522" t="str">
        <f>VLOOKUP(Table1[[#This Row],[Job_Status]],$V$2:$W$4,2,FALSE)</f>
        <v>Defect</v>
      </c>
      <c r="N522" s="7">
        <f>VLOOKUP(Table1[[#This Row],[Job_Status]],$V$2:$X$4,3,FALSE)</f>
        <v>100</v>
      </c>
    </row>
    <row r="523" spans="1:14" x14ac:dyDescent="0.3">
      <c r="A523" t="s">
        <v>34</v>
      </c>
      <c r="B523" t="s">
        <v>32</v>
      </c>
      <c r="C523" s="5">
        <v>4.8099999999999996</v>
      </c>
      <c r="D523" s="7">
        <v>62</v>
      </c>
      <c r="E523" s="6">
        <v>14.46</v>
      </c>
      <c r="F523">
        <v>80</v>
      </c>
      <c r="G523" s="3">
        <v>45006.944444444445</v>
      </c>
      <c r="H523" s="3">
        <v>45006.987500000003</v>
      </c>
      <c r="I523" s="3">
        <v>45006.940972222219</v>
      </c>
      <c r="J523" s="3">
        <v>45006.984027777777</v>
      </c>
      <c r="K523" t="s">
        <v>16</v>
      </c>
      <c r="L523" t="s">
        <v>20</v>
      </c>
      <c r="M523" t="str">
        <f>VLOOKUP(Table1[[#This Row],[Job_Status]],$V$2:$W$4,2,FALSE)</f>
        <v>Good</v>
      </c>
      <c r="N523" s="7">
        <f>VLOOKUP(Table1[[#This Row],[Job_Status]],$V$2:$X$4,3,FALSE)</f>
        <v>0</v>
      </c>
    </row>
    <row r="524" spans="1:14" x14ac:dyDescent="0.3">
      <c r="A524" t="s">
        <v>22</v>
      </c>
      <c r="B524" t="s">
        <v>27</v>
      </c>
      <c r="C524" s="5">
        <v>2.81</v>
      </c>
      <c r="D524" s="7">
        <v>24</v>
      </c>
      <c r="E524" s="6">
        <v>11.99</v>
      </c>
      <c r="F524">
        <v>82</v>
      </c>
      <c r="G524" s="3">
        <v>45006.951388888891</v>
      </c>
      <c r="H524" s="3">
        <v>45006.968055555553</v>
      </c>
      <c r="I524" s="3">
        <v>45006.970138888886</v>
      </c>
      <c r="J524" s="3">
        <v>45006.986805555556</v>
      </c>
      <c r="K524" t="s">
        <v>19</v>
      </c>
      <c r="L524" t="s">
        <v>20</v>
      </c>
      <c r="M524" t="str">
        <f>VLOOKUP(Table1[[#This Row],[Job_Status]],$V$2:$W$4,2,FALSE)</f>
        <v>Good</v>
      </c>
      <c r="N524" s="7">
        <f>VLOOKUP(Table1[[#This Row],[Job_Status]],$V$2:$X$4,3,FALSE)</f>
        <v>0</v>
      </c>
    </row>
    <row r="525" spans="1:14" x14ac:dyDescent="0.3">
      <c r="A525" t="s">
        <v>30</v>
      </c>
      <c r="B525" t="s">
        <v>23</v>
      </c>
      <c r="C525" s="5">
        <v>1.32</v>
      </c>
      <c r="D525" s="7">
        <v>52</v>
      </c>
      <c r="E525" s="6">
        <v>6.94</v>
      </c>
      <c r="F525">
        <v>90</v>
      </c>
      <c r="G525" s="3">
        <v>45006.958333333336</v>
      </c>
      <c r="H525" s="3">
        <v>45006.994444444441</v>
      </c>
      <c r="I525" s="3">
        <v>45006.959722222222</v>
      </c>
      <c r="J525" s="3">
        <v>45006.995833333334</v>
      </c>
      <c r="K525" t="s">
        <v>16</v>
      </c>
      <c r="L525" t="s">
        <v>28</v>
      </c>
      <c r="M525" t="str">
        <f>VLOOKUP(Table1[[#This Row],[Job_Status]],$V$2:$W$4,2,FALSE)</f>
        <v>Good</v>
      </c>
      <c r="N525" s="7">
        <f>VLOOKUP(Table1[[#This Row],[Job_Status]],$V$2:$X$4,3,FALSE)</f>
        <v>0</v>
      </c>
    </row>
    <row r="526" spans="1:14" x14ac:dyDescent="0.3">
      <c r="A526" t="s">
        <v>40</v>
      </c>
      <c r="B526" t="s">
        <v>23</v>
      </c>
      <c r="C526" s="5">
        <v>3.18</v>
      </c>
      <c r="D526" s="7">
        <v>62</v>
      </c>
      <c r="E526" s="6">
        <v>10.68</v>
      </c>
      <c r="F526">
        <v>96</v>
      </c>
      <c r="G526" s="3">
        <v>45006.965277777781</v>
      </c>
      <c r="H526" s="3">
        <v>45007.008333333331</v>
      </c>
      <c r="I526" s="3">
        <v>45006.968055555553</v>
      </c>
      <c r="J526" s="3">
        <v>45007.011111111111</v>
      </c>
      <c r="K526" t="s">
        <v>16</v>
      </c>
      <c r="L526" t="s">
        <v>17</v>
      </c>
      <c r="M526" t="str">
        <f>VLOOKUP(Table1[[#This Row],[Job_Status]],$V$2:$W$4,2,FALSE)</f>
        <v>Good</v>
      </c>
      <c r="N526" s="7">
        <f>VLOOKUP(Table1[[#This Row],[Job_Status]],$V$2:$X$4,3,FALSE)</f>
        <v>0</v>
      </c>
    </row>
    <row r="527" spans="1:14" x14ac:dyDescent="0.3">
      <c r="A527" t="s">
        <v>14</v>
      </c>
      <c r="B527" t="s">
        <v>32</v>
      </c>
      <c r="C527" s="5">
        <v>2.66</v>
      </c>
      <c r="D527" s="7">
        <v>92</v>
      </c>
      <c r="E527" s="6">
        <v>10.02</v>
      </c>
      <c r="F527">
        <v>88</v>
      </c>
      <c r="G527" s="3">
        <v>45006.972222222219</v>
      </c>
      <c r="H527" s="3">
        <v>45007.036111111112</v>
      </c>
      <c r="I527" s="3">
        <v>45006.972916666666</v>
      </c>
      <c r="J527" s="3">
        <v>45007.036805555559</v>
      </c>
      <c r="K527" t="s">
        <v>16</v>
      </c>
      <c r="L527" t="s">
        <v>17</v>
      </c>
      <c r="M527" t="str">
        <f>VLOOKUP(Table1[[#This Row],[Job_Status]],$V$2:$W$4,2,FALSE)</f>
        <v>Good</v>
      </c>
      <c r="N527" s="7">
        <f>VLOOKUP(Table1[[#This Row],[Job_Status]],$V$2:$X$4,3,FALSE)</f>
        <v>0</v>
      </c>
    </row>
    <row r="528" spans="1:14" x14ac:dyDescent="0.3">
      <c r="A528" t="s">
        <v>30</v>
      </c>
      <c r="B528" t="s">
        <v>15</v>
      </c>
      <c r="C528" s="5">
        <v>3.61</v>
      </c>
      <c r="D528" s="7">
        <v>76</v>
      </c>
      <c r="E528" s="6">
        <v>9.64</v>
      </c>
      <c r="F528">
        <v>96</v>
      </c>
      <c r="G528" s="3">
        <v>45006.979166666664</v>
      </c>
      <c r="H528" s="3">
        <v>45007.031944444447</v>
      </c>
      <c r="I528" s="3">
        <v>45006.975694444445</v>
      </c>
      <c r="J528" s="3">
        <v>45007.02847222222</v>
      </c>
      <c r="K528" t="s">
        <v>16</v>
      </c>
      <c r="L528" t="s">
        <v>20</v>
      </c>
      <c r="M528" t="str">
        <f>VLOOKUP(Table1[[#This Row],[Job_Status]],$V$2:$W$4,2,FALSE)</f>
        <v>Good</v>
      </c>
      <c r="N528" s="7">
        <f>VLOOKUP(Table1[[#This Row],[Job_Status]],$V$2:$X$4,3,FALSE)</f>
        <v>0</v>
      </c>
    </row>
    <row r="529" spans="1:14" x14ac:dyDescent="0.3">
      <c r="A529" t="s">
        <v>14</v>
      </c>
      <c r="B529" t="s">
        <v>32</v>
      </c>
      <c r="C529" s="5">
        <v>1.08</v>
      </c>
      <c r="D529" s="7">
        <v>67</v>
      </c>
      <c r="E529" s="6">
        <v>3.15</v>
      </c>
      <c r="F529">
        <v>91</v>
      </c>
      <c r="G529" s="3">
        <v>45006.986111111109</v>
      </c>
      <c r="H529" s="3">
        <v>45007.032638888886</v>
      </c>
      <c r="I529" s="3">
        <v>45006.98541666667</v>
      </c>
      <c r="J529" s="3">
        <v>45007.031944444447</v>
      </c>
      <c r="K529" t="s">
        <v>16</v>
      </c>
      <c r="L529" t="s">
        <v>20</v>
      </c>
      <c r="M529" t="str">
        <f>VLOOKUP(Table1[[#This Row],[Job_Status]],$V$2:$W$4,2,FALSE)</f>
        <v>Good</v>
      </c>
      <c r="N529" s="7">
        <f>VLOOKUP(Table1[[#This Row],[Job_Status]],$V$2:$X$4,3,FALSE)</f>
        <v>0</v>
      </c>
    </row>
    <row r="530" spans="1:14" x14ac:dyDescent="0.3">
      <c r="A530" t="s">
        <v>40</v>
      </c>
      <c r="B530" t="s">
        <v>15</v>
      </c>
      <c r="C530" s="5">
        <v>3.58</v>
      </c>
      <c r="D530" s="7">
        <v>28</v>
      </c>
      <c r="E530" s="6">
        <v>7.02</v>
      </c>
      <c r="F530">
        <v>88</v>
      </c>
      <c r="G530" s="3">
        <v>45006.993055555555</v>
      </c>
      <c r="H530" s="3">
        <v>45007.012499999997</v>
      </c>
      <c r="K530" t="s">
        <v>24</v>
      </c>
      <c r="L530" t="s">
        <v>20</v>
      </c>
      <c r="M530" t="str">
        <f>VLOOKUP(Table1[[#This Row],[Job_Status]],$V$2:$W$4,2,FALSE)</f>
        <v>Defect</v>
      </c>
      <c r="N530" s="7">
        <f>VLOOKUP(Table1[[#This Row],[Job_Status]],$V$2:$X$4,3,FALSE)</f>
        <v>100</v>
      </c>
    </row>
    <row r="531" spans="1:14" x14ac:dyDescent="0.3">
      <c r="A531" t="s">
        <v>22</v>
      </c>
      <c r="B531" t="s">
        <v>36</v>
      </c>
      <c r="C531" s="5">
        <v>4.91</v>
      </c>
      <c r="D531" s="7">
        <v>102</v>
      </c>
      <c r="E531" s="6">
        <v>9.4700000000000006</v>
      </c>
      <c r="F531">
        <v>88</v>
      </c>
      <c r="G531" s="3">
        <v>45007</v>
      </c>
      <c r="H531" s="3">
        <v>45007.070833333331</v>
      </c>
      <c r="K531" t="s">
        <v>24</v>
      </c>
      <c r="L531" t="s">
        <v>20</v>
      </c>
      <c r="M531" t="str">
        <f>VLOOKUP(Table1[[#This Row],[Job_Status]],$V$2:$W$4,2,FALSE)</f>
        <v>Defect</v>
      </c>
      <c r="N531" s="7">
        <f>VLOOKUP(Table1[[#This Row],[Job_Status]],$V$2:$X$4,3,FALSE)</f>
        <v>100</v>
      </c>
    </row>
    <row r="532" spans="1:14" x14ac:dyDescent="0.3">
      <c r="A532" t="s">
        <v>22</v>
      </c>
      <c r="B532" t="s">
        <v>32</v>
      </c>
      <c r="C532" s="5">
        <v>1.4</v>
      </c>
      <c r="D532" s="7">
        <v>87</v>
      </c>
      <c r="E532" s="6">
        <v>9.93</v>
      </c>
      <c r="F532">
        <v>87</v>
      </c>
      <c r="G532" s="3">
        <v>45007.006944444445</v>
      </c>
      <c r="H532" s="3">
        <v>45007.067361111112</v>
      </c>
      <c r="I532" s="3">
        <v>45007.027777777781</v>
      </c>
      <c r="J532" s="3">
        <v>45007.088194444441</v>
      </c>
      <c r="K532" t="s">
        <v>19</v>
      </c>
      <c r="L532" t="s">
        <v>20</v>
      </c>
      <c r="M532" t="str">
        <f>VLOOKUP(Table1[[#This Row],[Job_Status]],$V$2:$W$4,2,FALSE)</f>
        <v>Good</v>
      </c>
      <c r="N532" s="7">
        <f>VLOOKUP(Table1[[#This Row],[Job_Status]],$V$2:$X$4,3,FALSE)</f>
        <v>0</v>
      </c>
    </row>
    <row r="533" spans="1:14" x14ac:dyDescent="0.3">
      <c r="A533" t="s">
        <v>14</v>
      </c>
      <c r="B533" t="s">
        <v>15</v>
      </c>
      <c r="C533" s="5">
        <v>1.21</v>
      </c>
      <c r="D533" s="7">
        <v>90</v>
      </c>
      <c r="E533" s="6">
        <v>8.86</v>
      </c>
      <c r="F533">
        <v>95</v>
      </c>
      <c r="G533" s="3">
        <v>45007.013888888891</v>
      </c>
      <c r="H533" s="3">
        <v>45007.076388888891</v>
      </c>
      <c r="I533" s="3">
        <v>45007.010416666664</v>
      </c>
      <c r="J533" s="3">
        <v>45007.072916666664</v>
      </c>
      <c r="K533" t="s">
        <v>16</v>
      </c>
      <c r="L533" t="s">
        <v>20</v>
      </c>
      <c r="M533" t="str">
        <f>VLOOKUP(Table1[[#This Row],[Job_Status]],$V$2:$W$4,2,FALSE)</f>
        <v>Good</v>
      </c>
      <c r="N533" s="7">
        <f>VLOOKUP(Table1[[#This Row],[Job_Status]],$V$2:$X$4,3,FALSE)</f>
        <v>0</v>
      </c>
    </row>
    <row r="534" spans="1:14" x14ac:dyDescent="0.3">
      <c r="A534" t="s">
        <v>40</v>
      </c>
      <c r="B534" t="s">
        <v>23</v>
      </c>
      <c r="C534" s="5">
        <v>4.5</v>
      </c>
      <c r="D534" s="7">
        <v>106</v>
      </c>
      <c r="E534" s="6">
        <v>4.7300000000000004</v>
      </c>
      <c r="F534">
        <v>84</v>
      </c>
      <c r="G534" s="3">
        <v>45007.020833333336</v>
      </c>
      <c r="H534" s="3">
        <v>45007.094444444447</v>
      </c>
      <c r="I534" s="3">
        <v>45007.023611111108</v>
      </c>
      <c r="J534" s="3">
        <v>45007.097222222219</v>
      </c>
      <c r="K534" t="s">
        <v>16</v>
      </c>
      <c r="L534" t="s">
        <v>28</v>
      </c>
      <c r="M534" t="str">
        <f>VLOOKUP(Table1[[#This Row],[Job_Status]],$V$2:$W$4,2,FALSE)</f>
        <v>Good</v>
      </c>
      <c r="N534" s="7">
        <f>VLOOKUP(Table1[[#This Row],[Job_Status]],$V$2:$X$4,3,FALSE)</f>
        <v>0</v>
      </c>
    </row>
    <row r="535" spans="1:14" x14ac:dyDescent="0.3">
      <c r="A535" t="s">
        <v>14</v>
      </c>
      <c r="B535" t="s">
        <v>36</v>
      </c>
      <c r="C535" s="5">
        <v>1.54</v>
      </c>
      <c r="D535" s="7">
        <v>112</v>
      </c>
      <c r="E535" s="6">
        <v>6.86</v>
      </c>
      <c r="F535">
        <v>93</v>
      </c>
      <c r="G535" s="3">
        <v>45007.027777777781</v>
      </c>
      <c r="H535" s="3">
        <v>45007.105555555558</v>
      </c>
      <c r="I535" s="3">
        <v>45007.030555555553</v>
      </c>
      <c r="J535" s="3">
        <v>45007.10833333333</v>
      </c>
      <c r="K535" t="s">
        <v>16</v>
      </c>
      <c r="L535" t="s">
        <v>28</v>
      </c>
      <c r="M535" t="str">
        <f>VLOOKUP(Table1[[#This Row],[Job_Status]],$V$2:$W$4,2,FALSE)</f>
        <v>Good</v>
      </c>
      <c r="N535" s="7">
        <f>VLOOKUP(Table1[[#This Row],[Job_Status]],$V$2:$X$4,3,FALSE)</f>
        <v>0</v>
      </c>
    </row>
    <row r="536" spans="1:14" x14ac:dyDescent="0.3">
      <c r="A536" t="s">
        <v>30</v>
      </c>
      <c r="B536" t="s">
        <v>27</v>
      </c>
      <c r="C536" s="5">
        <v>3.14</v>
      </c>
      <c r="D536" s="7">
        <v>61</v>
      </c>
      <c r="E536" s="6">
        <v>3.66</v>
      </c>
      <c r="F536">
        <v>88</v>
      </c>
      <c r="G536" s="3">
        <v>45007.034722222219</v>
      </c>
      <c r="H536" s="3">
        <v>45007.07708333333</v>
      </c>
      <c r="I536" s="3">
        <v>45007.035416666666</v>
      </c>
      <c r="J536" s="3">
        <v>45007.077777777777</v>
      </c>
      <c r="K536" t="s">
        <v>16</v>
      </c>
      <c r="L536" t="s">
        <v>28</v>
      </c>
      <c r="M536" t="str">
        <f>VLOOKUP(Table1[[#This Row],[Job_Status]],$V$2:$W$4,2,FALSE)</f>
        <v>Good</v>
      </c>
      <c r="N536" s="7">
        <f>VLOOKUP(Table1[[#This Row],[Job_Status]],$V$2:$X$4,3,FALSE)</f>
        <v>0</v>
      </c>
    </row>
    <row r="537" spans="1:14" x14ac:dyDescent="0.3">
      <c r="A537" t="s">
        <v>30</v>
      </c>
      <c r="B537" t="s">
        <v>36</v>
      </c>
      <c r="C537" s="5">
        <v>4.9000000000000004</v>
      </c>
      <c r="D537" s="7">
        <v>45</v>
      </c>
      <c r="E537" s="6">
        <v>6.96</v>
      </c>
      <c r="F537">
        <v>90</v>
      </c>
      <c r="G537" s="3">
        <v>45007.041666666664</v>
      </c>
      <c r="H537" s="3">
        <v>45007.072916666664</v>
      </c>
      <c r="I537" s="3">
        <v>45007.038888888892</v>
      </c>
      <c r="J537" s="3">
        <v>45007.070138888892</v>
      </c>
      <c r="K537" t="s">
        <v>16</v>
      </c>
      <c r="L537" t="s">
        <v>20</v>
      </c>
      <c r="M537" t="str">
        <f>VLOOKUP(Table1[[#This Row],[Job_Status]],$V$2:$W$4,2,FALSE)</f>
        <v>Good</v>
      </c>
      <c r="N537" s="7">
        <f>VLOOKUP(Table1[[#This Row],[Job_Status]],$V$2:$X$4,3,FALSE)</f>
        <v>0</v>
      </c>
    </row>
    <row r="538" spans="1:14" x14ac:dyDescent="0.3">
      <c r="A538" t="s">
        <v>14</v>
      </c>
      <c r="B538" t="s">
        <v>15</v>
      </c>
      <c r="C538" s="5">
        <v>2.3199999999999998</v>
      </c>
      <c r="D538" s="7">
        <v>100</v>
      </c>
      <c r="E538" s="6">
        <v>6.97</v>
      </c>
      <c r="F538">
        <v>81</v>
      </c>
      <c r="G538" s="3">
        <v>45007.048611111109</v>
      </c>
      <c r="H538" s="3">
        <v>45007.118055555555</v>
      </c>
      <c r="I538" s="3">
        <v>45007.045138888891</v>
      </c>
      <c r="J538" s="3">
        <v>45007.114583333336</v>
      </c>
      <c r="K538" t="s">
        <v>16</v>
      </c>
      <c r="L538" t="s">
        <v>20</v>
      </c>
      <c r="M538" t="str">
        <f>VLOOKUP(Table1[[#This Row],[Job_Status]],$V$2:$W$4,2,FALSE)</f>
        <v>Good</v>
      </c>
      <c r="N538" s="7">
        <f>VLOOKUP(Table1[[#This Row],[Job_Status]],$V$2:$X$4,3,FALSE)</f>
        <v>0</v>
      </c>
    </row>
    <row r="539" spans="1:14" x14ac:dyDescent="0.3">
      <c r="A539" t="s">
        <v>30</v>
      </c>
      <c r="B539" t="s">
        <v>27</v>
      </c>
      <c r="C539" s="5">
        <v>3.05</v>
      </c>
      <c r="D539" s="7">
        <v>48</v>
      </c>
      <c r="E539" s="6">
        <v>13.96</v>
      </c>
      <c r="F539">
        <v>90</v>
      </c>
      <c r="G539" s="3">
        <v>45007.055555555555</v>
      </c>
      <c r="H539" s="3">
        <v>45007.088888888888</v>
      </c>
      <c r="I539" s="3">
        <v>45007.052083333336</v>
      </c>
      <c r="J539" s="3">
        <v>45007.085416666669</v>
      </c>
      <c r="K539" t="s">
        <v>16</v>
      </c>
      <c r="L539" t="s">
        <v>20</v>
      </c>
      <c r="M539" t="str">
        <f>VLOOKUP(Table1[[#This Row],[Job_Status]],$V$2:$W$4,2,FALSE)</f>
        <v>Good</v>
      </c>
      <c r="N539" s="7">
        <f>VLOOKUP(Table1[[#This Row],[Job_Status]],$V$2:$X$4,3,FALSE)</f>
        <v>0</v>
      </c>
    </row>
    <row r="540" spans="1:14" x14ac:dyDescent="0.3">
      <c r="A540" t="s">
        <v>14</v>
      </c>
      <c r="B540" t="s">
        <v>27</v>
      </c>
      <c r="C540" s="5">
        <v>1.1200000000000001</v>
      </c>
      <c r="D540" s="7">
        <v>75</v>
      </c>
      <c r="E540" s="6">
        <v>2.16</v>
      </c>
      <c r="F540">
        <v>86</v>
      </c>
      <c r="G540" s="3">
        <v>45007.0625</v>
      </c>
      <c r="H540" s="3">
        <v>45007.114583333336</v>
      </c>
      <c r="I540" s="3">
        <v>45007.06527777778</v>
      </c>
      <c r="J540" s="3">
        <v>45007.117361111108</v>
      </c>
      <c r="K540" t="s">
        <v>16</v>
      </c>
      <c r="L540" t="s">
        <v>28</v>
      </c>
      <c r="M540" t="str">
        <f>VLOOKUP(Table1[[#This Row],[Job_Status]],$V$2:$W$4,2,FALSE)</f>
        <v>Good</v>
      </c>
      <c r="N540" s="7">
        <f>VLOOKUP(Table1[[#This Row],[Job_Status]],$V$2:$X$4,3,FALSE)</f>
        <v>0</v>
      </c>
    </row>
    <row r="541" spans="1:14" x14ac:dyDescent="0.3">
      <c r="A541" t="s">
        <v>14</v>
      </c>
      <c r="B541" t="s">
        <v>36</v>
      </c>
      <c r="C541" s="5">
        <v>2.94</v>
      </c>
      <c r="D541" s="7">
        <v>116</v>
      </c>
      <c r="E541" s="6">
        <v>10.59</v>
      </c>
      <c r="F541">
        <v>96</v>
      </c>
      <c r="G541" s="3">
        <v>45007.069444444445</v>
      </c>
      <c r="H541" s="3">
        <v>45007.15</v>
      </c>
      <c r="I541" s="3">
        <v>45007.070138888892</v>
      </c>
      <c r="J541" s="3">
        <v>45007.150694444441</v>
      </c>
      <c r="K541" t="s">
        <v>16</v>
      </c>
      <c r="L541" t="s">
        <v>17</v>
      </c>
      <c r="M541" t="str">
        <f>VLOOKUP(Table1[[#This Row],[Job_Status]],$V$2:$W$4,2,FALSE)</f>
        <v>Good</v>
      </c>
      <c r="N541" s="7">
        <f>VLOOKUP(Table1[[#This Row],[Job_Status]],$V$2:$X$4,3,FALSE)</f>
        <v>0</v>
      </c>
    </row>
    <row r="542" spans="1:14" x14ac:dyDescent="0.3">
      <c r="A542" t="s">
        <v>34</v>
      </c>
      <c r="B542" t="s">
        <v>27</v>
      </c>
      <c r="C542" s="5">
        <v>3.88</v>
      </c>
      <c r="D542" s="7">
        <v>60</v>
      </c>
      <c r="E542" s="6">
        <v>3.62</v>
      </c>
      <c r="F542">
        <v>95</v>
      </c>
      <c r="G542" s="3">
        <v>45007.076388888891</v>
      </c>
      <c r="H542" s="3">
        <v>45007.118055555555</v>
      </c>
      <c r="I542" s="3">
        <v>45007.079861111109</v>
      </c>
      <c r="J542" s="3">
        <v>45007.121527777781</v>
      </c>
      <c r="K542" t="s">
        <v>16</v>
      </c>
      <c r="L542" t="s">
        <v>28</v>
      </c>
      <c r="M542" t="str">
        <f>VLOOKUP(Table1[[#This Row],[Job_Status]],$V$2:$W$4,2,FALSE)</f>
        <v>Good</v>
      </c>
      <c r="N542" s="7">
        <f>VLOOKUP(Table1[[#This Row],[Job_Status]],$V$2:$X$4,3,FALSE)</f>
        <v>0</v>
      </c>
    </row>
    <row r="543" spans="1:14" x14ac:dyDescent="0.3">
      <c r="A543" t="s">
        <v>14</v>
      </c>
      <c r="B543" t="s">
        <v>23</v>
      </c>
      <c r="C543" s="5">
        <v>1.81</v>
      </c>
      <c r="D543" s="7">
        <v>53</v>
      </c>
      <c r="E543" s="6">
        <v>4.45</v>
      </c>
      <c r="F543">
        <v>85</v>
      </c>
      <c r="G543" s="3">
        <v>45007.083333333336</v>
      </c>
      <c r="H543" s="3">
        <v>45007.120138888888</v>
      </c>
      <c r="I543" s="3">
        <v>45007.085416666669</v>
      </c>
      <c r="J543" s="3">
        <v>45007.12222222222</v>
      </c>
      <c r="K543" t="s">
        <v>16</v>
      </c>
      <c r="L543" t="s">
        <v>28</v>
      </c>
      <c r="M543" t="str">
        <f>VLOOKUP(Table1[[#This Row],[Job_Status]],$V$2:$W$4,2,FALSE)</f>
        <v>Good</v>
      </c>
      <c r="N543" s="7">
        <f>VLOOKUP(Table1[[#This Row],[Job_Status]],$V$2:$X$4,3,FALSE)</f>
        <v>0</v>
      </c>
    </row>
    <row r="544" spans="1:14" x14ac:dyDescent="0.3">
      <c r="A544" t="s">
        <v>40</v>
      </c>
      <c r="B544" t="s">
        <v>36</v>
      </c>
      <c r="C544" s="5">
        <v>3.57</v>
      </c>
      <c r="D544" s="7">
        <v>47</v>
      </c>
      <c r="E544" s="6">
        <v>13.17</v>
      </c>
      <c r="F544">
        <v>89</v>
      </c>
      <c r="G544" s="3">
        <v>45007.090277777781</v>
      </c>
      <c r="H544" s="3">
        <v>45007.122916666667</v>
      </c>
      <c r="I544" s="3">
        <v>45007.091666666667</v>
      </c>
      <c r="J544" s="3">
        <v>45007.124305555553</v>
      </c>
      <c r="K544" t="s">
        <v>16</v>
      </c>
      <c r="L544" t="s">
        <v>17</v>
      </c>
      <c r="M544" t="str">
        <f>VLOOKUP(Table1[[#This Row],[Job_Status]],$V$2:$W$4,2,FALSE)</f>
        <v>Good</v>
      </c>
      <c r="N544" s="7">
        <f>VLOOKUP(Table1[[#This Row],[Job_Status]],$V$2:$X$4,3,FALSE)</f>
        <v>0</v>
      </c>
    </row>
    <row r="545" spans="1:14" x14ac:dyDescent="0.3">
      <c r="A545" t="s">
        <v>34</v>
      </c>
      <c r="B545" t="s">
        <v>27</v>
      </c>
      <c r="C545" s="5">
        <v>2.12</v>
      </c>
      <c r="D545" s="7">
        <v>87</v>
      </c>
      <c r="E545" s="6">
        <v>3.37</v>
      </c>
      <c r="F545">
        <v>89</v>
      </c>
      <c r="G545" s="3">
        <v>45007.097222222219</v>
      </c>
      <c r="H545" s="3">
        <v>45007.157638888886</v>
      </c>
      <c r="I545" s="3">
        <v>45007.1</v>
      </c>
      <c r="J545" s="3">
        <v>45007.160416666666</v>
      </c>
      <c r="K545" t="s">
        <v>16</v>
      </c>
      <c r="L545" t="s">
        <v>28</v>
      </c>
      <c r="M545" t="str">
        <f>VLOOKUP(Table1[[#This Row],[Job_Status]],$V$2:$W$4,2,FALSE)</f>
        <v>Good</v>
      </c>
      <c r="N545" s="7">
        <f>VLOOKUP(Table1[[#This Row],[Job_Status]],$V$2:$X$4,3,FALSE)</f>
        <v>0</v>
      </c>
    </row>
    <row r="546" spans="1:14" x14ac:dyDescent="0.3">
      <c r="A546" t="s">
        <v>30</v>
      </c>
      <c r="B546" t="s">
        <v>27</v>
      </c>
      <c r="C546" s="5">
        <v>1.3</v>
      </c>
      <c r="D546" s="7">
        <v>89</v>
      </c>
      <c r="E546" s="6">
        <v>5.76</v>
      </c>
      <c r="F546">
        <v>89</v>
      </c>
      <c r="G546" s="3">
        <v>45007.104166666664</v>
      </c>
      <c r="H546" s="3">
        <v>45007.165972222225</v>
      </c>
      <c r="I546" s="3">
        <v>45007.104861111111</v>
      </c>
      <c r="J546" s="3">
        <v>45007.166666666664</v>
      </c>
      <c r="K546" t="s">
        <v>16</v>
      </c>
      <c r="L546" t="s">
        <v>28</v>
      </c>
      <c r="M546" t="str">
        <f>VLOOKUP(Table1[[#This Row],[Job_Status]],$V$2:$W$4,2,FALSE)</f>
        <v>Good</v>
      </c>
      <c r="N546" s="7">
        <f>VLOOKUP(Table1[[#This Row],[Job_Status]],$V$2:$X$4,3,FALSE)</f>
        <v>0</v>
      </c>
    </row>
    <row r="547" spans="1:14" x14ac:dyDescent="0.3">
      <c r="A547" t="s">
        <v>34</v>
      </c>
      <c r="B547" t="s">
        <v>27</v>
      </c>
      <c r="C547" s="5">
        <v>4.1900000000000004</v>
      </c>
      <c r="D547" s="7">
        <v>50</v>
      </c>
      <c r="E547" s="6">
        <v>6.67</v>
      </c>
      <c r="F547">
        <v>89</v>
      </c>
      <c r="G547" s="3">
        <v>45007.111111111109</v>
      </c>
      <c r="H547" s="3">
        <v>45007.145833333336</v>
      </c>
      <c r="I547" s="3">
        <v>45007.11041666667</v>
      </c>
      <c r="J547" s="3">
        <v>45007.145138888889</v>
      </c>
      <c r="K547" t="s">
        <v>16</v>
      </c>
      <c r="L547" t="s">
        <v>20</v>
      </c>
      <c r="M547" t="str">
        <f>VLOOKUP(Table1[[#This Row],[Job_Status]],$V$2:$W$4,2,FALSE)</f>
        <v>Good</v>
      </c>
      <c r="N547" s="7">
        <f>VLOOKUP(Table1[[#This Row],[Job_Status]],$V$2:$X$4,3,FALSE)</f>
        <v>0</v>
      </c>
    </row>
    <row r="548" spans="1:14" x14ac:dyDescent="0.3">
      <c r="A548" t="s">
        <v>22</v>
      </c>
      <c r="B548" t="s">
        <v>27</v>
      </c>
      <c r="C548" s="5">
        <v>2.77</v>
      </c>
      <c r="D548" s="7">
        <v>95</v>
      </c>
      <c r="E548" s="6">
        <v>7.55</v>
      </c>
      <c r="F548">
        <v>81</v>
      </c>
      <c r="G548" s="3">
        <v>45007.118055555555</v>
      </c>
      <c r="H548" s="3">
        <v>45007.184027777781</v>
      </c>
      <c r="I548" s="3">
        <v>45007.121527777781</v>
      </c>
      <c r="J548" s="3">
        <v>45007.1875</v>
      </c>
      <c r="K548" t="s">
        <v>16</v>
      </c>
      <c r="L548" t="s">
        <v>17</v>
      </c>
      <c r="M548" t="str">
        <f>VLOOKUP(Table1[[#This Row],[Job_Status]],$V$2:$W$4,2,FALSE)</f>
        <v>Good</v>
      </c>
      <c r="N548" s="7">
        <f>VLOOKUP(Table1[[#This Row],[Job_Status]],$V$2:$X$4,3,FALSE)</f>
        <v>0</v>
      </c>
    </row>
    <row r="549" spans="1:14" x14ac:dyDescent="0.3">
      <c r="A549" t="s">
        <v>22</v>
      </c>
      <c r="B549" t="s">
        <v>27</v>
      </c>
      <c r="C549" s="5">
        <v>2.75</v>
      </c>
      <c r="D549" s="7">
        <v>100</v>
      </c>
      <c r="E549" s="6">
        <v>6.39</v>
      </c>
      <c r="F549">
        <v>91</v>
      </c>
      <c r="G549" s="3">
        <v>45007.125</v>
      </c>
      <c r="H549" s="3">
        <v>45007.194444444445</v>
      </c>
      <c r="I549" s="3">
        <v>45007.126388888886</v>
      </c>
      <c r="J549" s="3">
        <v>45007.195833333331</v>
      </c>
      <c r="K549" t="s">
        <v>16</v>
      </c>
      <c r="L549" t="s">
        <v>28</v>
      </c>
      <c r="M549" t="str">
        <f>VLOOKUP(Table1[[#This Row],[Job_Status]],$V$2:$W$4,2,FALSE)</f>
        <v>Good</v>
      </c>
      <c r="N549" s="7">
        <f>VLOOKUP(Table1[[#This Row],[Job_Status]],$V$2:$X$4,3,FALSE)</f>
        <v>0</v>
      </c>
    </row>
    <row r="550" spans="1:14" x14ac:dyDescent="0.3">
      <c r="A550" t="s">
        <v>22</v>
      </c>
      <c r="B550" t="s">
        <v>23</v>
      </c>
      <c r="C550" s="5">
        <v>2.81</v>
      </c>
      <c r="D550" s="7">
        <v>21</v>
      </c>
      <c r="E550" s="6">
        <v>5.14</v>
      </c>
      <c r="F550">
        <v>91</v>
      </c>
      <c r="G550" s="3">
        <v>45007.131944444445</v>
      </c>
      <c r="H550" s="3">
        <v>45007.146527777775</v>
      </c>
      <c r="I550" s="3">
        <v>45007.131944444445</v>
      </c>
      <c r="J550" s="3">
        <v>45007.146527777775</v>
      </c>
      <c r="K550" t="s">
        <v>16</v>
      </c>
      <c r="L550" t="s">
        <v>28</v>
      </c>
      <c r="M550" t="str">
        <f>VLOOKUP(Table1[[#This Row],[Job_Status]],$V$2:$W$4,2,FALSE)</f>
        <v>Good</v>
      </c>
      <c r="N550" s="7">
        <f>VLOOKUP(Table1[[#This Row],[Job_Status]],$V$2:$X$4,3,FALSE)</f>
        <v>0</v>
      </c>
    </row>
    <row r="551" spans="1:14" x14ac:dyDescent="0.3">
      <c r="A551" t="s">
        <v>22</v>
      </c>
      <c r="B551" t="s">
        <v>23</v>
      </c>
      <c r="C551" s="5">
        <v>1.61</v>
      </c>
      <c r="D551" s="7">
        <v>61</v>
      </c>
      <c r="E551" s="6">
        <v>14.7</v>
      </c>
      <c r="F551">
        <v>88</v>
      </c>
      <c r="G551" s="3">
        <v>45007.138888888891</v>
      </c>
      <c r="H551" s="3">
        <v>45007.181250000001</v>
      </c>
      <c r="I551" s="3">
        <v>45007.135416666664</v>
      </c>
      <c r="J551" s="3">
        <v>45007.177777777775</v>
      </c>
      <c r="K551" t="s">
        <v>16</v>
      </c>
      <c r="L551" t="s">
        <v>20</v>
      </c>
      <c r="M551" t="str">
        <f>VLOOKUP(Table1[[#This Row],[Job_Status]],$V$2:$W$4,2,FALSE)</f>
        <v>Good</v>
      </c>
      <c r="N551" s="7">
        <f>VLOOKUP(Table1[[#This Row],[Job_Status]],$V$2:$X$4,3,FALSE)</f>
        <v>0</v>
      </c>
    </row>
    <row r="552" spans="1:14" x14ac:dyDescent="0.3">
      <c r="A552" t="s">
        <v>30</v>
      </c>
      <c r="B552" t="s">
        <v>27</v>
      </c>
      <c r="C552" s="5">
        <v>2.98</v>
      </c>
      <c r="D552" s="7">
        <v>31</v>
      </c>
      <c r="E552" s="6">
        <v>6.28</v>
      </c>
      <c r="F552">
        <v>92</v>
      </c>
      <c r="G552" s="3">
        <v>45007.145833333336</v>
      </c>
      <c r="H552" s="3">
        <v>45007.167361111111</v>
      </c>
      <c r="I552" s="3">
        <v>45007.149305555555</v>
      </c>
      <c r="J552" s="3">
        <v>45007.17083333333</v>
      </c>
      <c r="K552" t="s">
        <v>16</v>
      </c>
      <c r="L552" t="s">
        <v>28</v>
      </c>
      <c r="M552" t="str">
        <f>VLOOKUP(Table1[[#This Row],[Job_Status]],$V$2:$W$4,2,FALSE)</f>
        <v>Good</v>
      </c>
      <c r="N552" s="7">
        <f>VLOOKUP(Table1[[#This Row],[Job_Status]],$V$2:$X$4,3,FALSE)</f>
        <v>0</v>
      </c>
    </row>
    <row r="553" spans="1:14" x14ac:dyDescent="0.3">
      <c r="A553" t="s">
        <v>14</v>
      </c>
      <c r="B553" t="s">
        <v>36</v>
      </c>
      <c r="C553" s="5">
        <v>3.36</v>
      </c>
      <c r="D553" s="7">
        <v>85</v>
      </c>
      <c r="E553" s="6">
        <v>5.05</v>
      </c>
      <c r="F553">
        <v>92</v>
      </c>
      <c r="G553" s="3">
        <v>45007.152777777781</v>
      </c>
      <c r="H553" s="3">
        <v>45007.211805555555</v>
      </c>
      <c r="I553" s="3">
        <v>45007.152083333334</v>
      </c>
      <c r="J553" s="3">
        <v>45007.211111111108</v>
      </c>
      <c r="K553" t="s">
        <v>16</v>
      </c>
      <c r="L553" t="s">
        <v>20</v>
      </c>
      <c r="M553" t="str">
        <f>VLOOKUP(Table1[[#This Row],[Job_Status]],$V$2:$W$4,2,FALSE)</f>
        <v>Good</v>
      </c>
      <c r="N553" s="7">
        <f>VLOOKUP(Table1[[#This Row],[Job_Status]],$V$2:$X$4,3,FALSE)</f>
        <v>0</v>
      </c>
    </row>
    <row r="554" spans="1:14" x14ac:dyDescent="0.3">
      <c r="A554" t="s">
        <v>14</v>
      </c>
      <c r="B554" t="s">
        <v>23</v>
      </c>
      <c r="C554" s="5">
        <v>4.76</v>
      </c>
      <c r="D554" s="7">
        <v>68</v>
      </c>
      <c r="E554" s="6">
        <v>11.58</v>
      </c>
      <c r="F554">
        <v>86</v>
      </c>
      <c r="G554" s="3">
        <v>45007.159722222219</v>
      </c>
      <c r="H554" s="3">
        <v>45007.206944444442</v>
      </c>
      <c r="I554" s="3">
        <v>45007.161805555559</v>
      </c>
      <c r="J554" s="3">
        <v>45007.209027777775</v>
      </c>
      <c r="K554" t="s">
        <v>16</v>
      </c>
      <c r="L554" t="s">
        <v>17</v>
      </c>
      <c r="M554" t="str">
        <f>VLOOKUP(Table1[[#This Row],[Job_Status]],$V$2:$W$4,2,FALSE)</f>
        <v>Good</v>
      </c>
      <c r="N554" s="7">
        <f>VLOOKUP(Table1[[#This Row],[Job_Status]],$V$2:$X$4,3,FALSE)</f>
        <v>0</v>
      </c>
    </row>
    <row r="555" spans="1:14" x14ac:dyDescent="0.3">
      <c r="A555" t="s">
        <v>40</v>
      </c>
      <c r="B555" t="s">
        <v>27</v>
      </c>
      <c r="C555" s="5">
        <v>3.11</v>
      </c>
      <c r="D555" s="7">
        <v>63</v>
      </c>
      <c r="E555" s="6">
        <v>12.39</v>
      </c>
      <c r="F555">
        <v>83</v>
      </c>
      <c r="G555" s="3">
        <v>45007.166666666664</v>
      </c>
      <c r="H555" s="3">
        <v>45007.210416666669</v>
      </c>
      <c r="I555" s="3">
        <v>45007.166666666664</v>
      </c>
      <c r="J555" s="3">
        <v>45007.210416666669</v>
      </c>
      <c r="K555" t="s">
        <v>16</v>
      </c>
      <c r="L555" t="s">
        <v>17</v>
      </c>
      <c r="M555" t="str">
        <f>VLOOKUP(Table1[[#This Row],[Job_Status]],$V$2:$W$4,2,FALSE)</f>
        <v>Good</v>
      </c>
      <c r="N555" s="7">
        <f>VLOOKUP(Table1[[#This Row],[Job_Status]],$V$2:$X$4,3,FALSE)</f>
        <v>0</v>
      </c>
    </row>
    <row r="556" spans="1:14" x14ac:dyDescent="0.3">
      <c r="A556" t="s">
        <v>22</v>
      </c>
      <c r="B556" t="s">
        <v>32</v>
      </c>
      <c r="C556" s="5">
        <v>1.42</v>
      </c>
      <c r="D556" s="7">
        <v>93</v>
      </c>
      <c r="E556" s="6">
        <v>6.97</v>
      </c>
      <c r="F556">
        <v>96</v>
      </c>
      <c r="G556" s="3">
        <v>45007.173611111109</v>
      </c>
      <c r="H556" s="3">
        <v>45007.238194444442</v>
      </c>
      <c r="I556" s="3">
        <v>45007.175000000003</v>
      </c>
      <c r="J556" s="3">
        <v>45007.239583333336</v>
      </c>
      <c r="K556" t="s">
        <v>16</v>
      </c>
      <c r="L556" t="s">
        <v>28</v>
      </c>
      <c r="M556" t="str">
        <f>VLOOKUP(Table1[[#This Row],[Job_Status]],$V$2:$W$4,2,FALSE)</f>
        <v>Good</v>
      </c>
      <c r="N556" s="7">
        <f>VLOOKUP(Table1[[#This Row],[Job_Status]],$V$2:$X$4,3,FALSE)</f>
        <v>0</v>
      </c>
    </row>
    <row r="557" spans="1:14" x14ac:dyDescent="0.3">
      <c r="A557" t="s">
        <v>30</v>
      </c>
      <c r="B557" t="s">
        <v>23</v>
      </c>
      <c r="C557" s="5">
        <v>1.61</v>
      </c>
      <c r="D557" s="7">
        <v>37</v>
      </c>
      <c r="E557" s="6">
        <v>12.3</v>
      </c>
      <c r="F557">
        <v>95</v>
      </c>
      <c r="G557" s="3">
        <v>45007.180555555555</v>
      </c>
      <c r="H557" s="3">
        <v>45007.206250000003</v>
      </c>
      <c r="I557" s="3">
        <v>45007.1875</v>
      </c>
      <c r="J557" s="3">
        <v>45007.213194444441</v>
      </c>
      <c r="K557" t="s">
        <v>19</v>
      </c>
      <c r="L557" t="s">
        <v>20</v>
      </c>
      <c r="M557" t="str">
        <f>VLOOKUP(Table1[[#This Row],[Job_Status]],$V$2:$W$4,2,FALSE)</f>
        <v>Good</v>
      </c>
      <c r="N557" s="7">
        <f>VLOOKUP(Table1[[#This Row],[Job_Status]],$V$2:$X$4,3,FALSE)</f>
        <v>0</v>
      </c>
    </row>
    <row r="558" spans="1:14" x14ac:dyDescent="0.3">
      <c r="A558" t="s">
        <v>34</v>
      </c>
      <c r="B558" t="s">
        <v>23</v>
      </c>
      <c r="C558" s="5">
        <v>3.93</v>
      </c>
      <c r="D558" s="7">
        <v>36</v>
      </c>
      <c r="E558" s="6">
        <v>5.37</v>
      </c>
      <c r="F558">
        <v>98</v>
      </c>
      <c r="G558" s="3">
        <v>45007.1875</v>
      </c>
      <c r="H558" s="3">
        <v>45007.212500000001</v>
      </c>
      <c r="K558" t="s">
        <v>24</v>
      </c>
      <c r="L558" t="s">
        <v>20</v>
      </c>
      <c r="M558" t="str">
        <f>VLOOKUP(Table1[[#This Row],[Job_Status]],$V$2:$W$4,2,FALSE)</f>
        <v>Defect</v>
      </c>
      <c r="N558" s="7">
        <f>VLOOKUP(Table1[[#This Row],[Job_Status]],$V$2:$X$4,3,FALSE)</f>
        <v>100</v>
      </c>
    </row>
    <row r="559" spans="1:14" x14ac:dyDescent="0.3">
      <c r="A559" t="s">
        <v>22</v>
      </c>
      <c r="B559" t="s">
        <v>36</v>
      </c>
      <c r="C559" s="5">
        <v>3.61</v>
      </c>
      <c r="D559" s="7">
        <v>44</v>
      </c>
      <c r="E559" s="6">
        <v>4.66</v>
      </c>
      <c r="F559">
        <v>98</v>
      </c>
      <c r="G559" s="3">
        <v>45007.194444444445</v>
      </c>
      <c r="H559" s="3">
        <v>45007.224999999999</v>
      </c>
      <c r="I559" s="3">
        <v>45007.194444444445</v>
      </c>
      <c r="J559" s="3">
        <v>45007.224999999999</v>
      </c>
      <c r="K559" t="s">
        <v>16</v>
      </c>
      <c r="L559" t="s">
        <v>28</v>
      </c>
      <c r="M559" t="str">
        <f>VLOOKUP(Table1[[#This Row],[Job_Status]],$V$2:$W$4,2,FALSE)</f>
        <v>Good</v>
      </c>
      <c r="N559" s="7">
        <f>VLOOKUP(Table1[[#This Row],[Job_Status]],$V$2:$X$4,3,FALSE)</f>
        <v>0</v>
      </c>
    </row>
    <row r="560" spans="1:14" x14ac:dyDescent="0.3">
      <c r="A560" t="s">
        <v>40</v>
      </c>
      <c r="B560" t="s">
        <v>36</v>
      </c>
      <c r="C560" s="5">
        <v>4.07</v>
      </c>
      <c r="D560" s="7">
        <v>56</v>
      </c>
      <c r="E560" s="6">
        <v>8.89</v>
      </c>
      <c r="F560">
        <v>87</v>
      </c>
      <c r="G560" s="3">
        <v>45007.201388888891</v>
      </c>
      <c r="H560" s="3">
        <v>45007.240277777775</v>
      </c>
      <c r="I560" s="3">
        <v>45007.20416666667</v>
      </c>
      <c r="J560" s="3">
        <v>45007.243055555555</v>
      </c>
      <c r="K560" t="s">
        <v>16</v>
      </c>
      <c r="L560" t="s">
        <v>17</v>
      </c>
      <c r="M560" t="str">
        <f>VLOOKUP(Table1[[#This Row],[Job_Status]],$V$2:$W$4,2,FALSE)</f>
        <v>Good</v>
      </c>
      <c r="N560" s="7">
        <f>VLOOKUP(Table1[[#This Row],[Job_Status]],$V$2:$X$4,3,FALSE)</f>
        <v>0</v>
      </c>
    </row>
    <row r="561" spans="1:14" x14ac:dyDescent="0.3">
      <c r="A561" t="s">
        <v>30</v>
      </c>
      <c r="B561" t="s">
        <v>27</v>
      </c>
      <c r="C561" s="5">
        <v>1.78</v>
      </c>
      <c r="D561" s="7">
        <v>114</v>
      </c>
      <c r="E561" s="6">
        <v>9.67</v>
      </c>
      <c r="F561">
        <v>88</v>
      </c>
      <c r="G561" s="3">
        <v>45007.208333333336</v>
      </c>
      <c r="H561" s="3">
        <v>45007.287499999999</v>
      </c>
      <c r="I561" s="3">
        <v>45007.209027777775</v>
      </c>
      <c r="J561" s="3">
        <v>45007.288194444445</v>
      </c>
      <c r="K561" t="s">
        <v>16</v>
      </c>
      <c r="L561" t="s">
        <v>17</v>
      </c>
      <c r="M561" t="str">
        <f>VLOOKUP(Table1[[#This Row],[Job_Status]],$V$2:$W$4,2,FALSE)</f>
        <v>Good</v>
      </c>
      <c r="N561" s="7">
        <f>VLOOKUP(Table1[[#This Row],[Job_Status]],$V$2:$X$4,3,FALSE)</f>
        <v>0</v>
      </c>
    </row>
    <row r="562" spans="1:14" x14ac:dyDescent="0.3">
      <c r="A562" t="s">
        <v>14</v>
      </c>
      <c r="B562" t="s">
        <v>15</v>
      </c>
      <c r="C562" s="5">
        <v>2.66</v>
      </c>
      <c r="D562" s="7">
        <v>79</v>
      </c>
      <c r="E562" s="6">
        <v>12.1</v>
      </c>
      <c r="F562">
        <v>82</v>
      </c>
      <c r="G562" s="3">
        <v>45007.215277777781</v>
      </c>
      <c r="H562" s="3">
        <v>45007.270138888889</v>
      </c>
      <c r="I562" s="3">
        <v>45007.229166666664</v>
      </c>
      <c r="J562" s="3">
        <v>45007.28402777778</v>
      </c>
      <c r="K562" t="s">
        <v>19</v>
      </c>
      <c r="L562" t="s">
        <v>20</v>
      </c>
      <c r="M562" t="str">
        <f>VLOOKUP(Table1[[#This Row],[Job_Status]],$V$2:$W$4,2,FALSE)</f>
        <v>Good</v>
      </c>
      <c r="N562" s="7">
        <f>VLOOKUP(Table1[[#This Row],[Job_Status]],$V$2:$X$4,3,FALSE)</f>
        <v>0</v>
      </c>
    </row>
    <row r="563" spans="1:14" x14ac:dyDescent="0.3">
      <c r="A563" t="s">
        <v>22</v>
      </c>
      <c r="B563" t="s">
        <v>32</v>
      </c>
      <c r="C563" s="5">
        <v>1.65</v>
      </c>
      <c r="D563" s="7">
        <v>44</v>
      </c>
      <c r="E563" s="6">
        <v>8.3000000000000007</v>
      </c>
      <c r="F563">
        <v>88</v>
      </c>
      <c r="G563" s="3">
        <v>45007.222222222219</v>
      </c>
      <c r="H563" s="3">
        <v>45007.25277777778</v>
      </c>
      <c r="I563" s="3">
        <v>45007.224305555559</v>
      </c>
      <c r="J563" s="3">
        <v>45007.254861111112</v>
      </c>
      <c r="K563" t="s">
        <v>16</v>
      </c>
      <c r="L563" t="s">
        <v>17</v>
      </c>
      <c r="M563" t="str">
        <f>VLOOKUP(Table1[[#This Row],[Job_Status]],$V$2:$W$4,2,FALSE)</f>
        <v>Good</v>
      </c>
      <c r="N563" s="7">
        <f>VLOOKUP(Table1[[#This Row],[Job_Status]],$V$2:$X$4,3,FALSE)</f>
        <v>0</v>
      </c>
    </row>
    <row r="564" spans="1:14" x14ac:dyDescent="0.3">
      <c r="A564" t="s">
        <v>34</v>
      </c>
      <c r="B564" t="s">
        <v>27</v>
      </c>
      <c r="C564" s="5">
        <v>3.38</v>
      </c>
      <c r="D564" s="7">
        <v>108</v>
      </c>
      <c r="E564" s="6">
        <v>10.49</v>
      </c>
      <c r="F564">
        <v>91</v>
      </c>
      <c r="G564" s="3">
        <v>45007.229166666664</v>
      </c>
      <c r="H564" s="3">
        <v>45007.304166666669</v>
      </c>
      <c r="I564" s="3">
        <v>45007.229861111111</v>
      </c>
      <c r="J564" s="3">
        <v>45007.304861111108</v>
      </c>
      <c r="K564" t="s">
        <v>16</v>
      </c>
      <c r="L564" t="s">
        <v>17</v>
      </c>
      <c r="M564" t="str">
        <f>VLOOKUP(Table1[[#This Row],[Job_Status]],$V$2:$W$4,2,FALSE)</f>
        <v>Good</v>
      </c>
      <c r="N564" s="7">
        <f>VLOOKUP(Table1[[#This Row],[Job_Status]],$V$2:$X$4,3,FALSE)</f>
        <v>0</v>
      </c>
    </row>
    <row r="565" spans="1:14" x14ac:dyDescent="0.3">
      <c r="A565" t="s">
        <v>34</v>
      </c>
      <c r="B565" t="s">
        <v>32</v>
      </c>
      <c r="C565" s="5">
        <v>1.36</v>
      </c>
      <c r="D565" s="7">
        <v>80</v>
      </c>
      <c r="E565" s="6">
        <v>7.48</v>
      </c>
      <c r="F565">
        <v>81</v>
      </c>
      <c r="G565" s="3">
        <v>45007.236111111109</v>
      </c>
      <c r="H565" s="3">
        <v>45007.291666666664</v>
      </c>
      <c r="I565" s="3">
        <v>45007.238888888889</v>
      </c>
      <c r="J565" s="3">
        <v>45007.294444444444</v>
      </c>
      <c r="K565" t="s">
        <v>16</v>
      </c>
      <c r="L565" t="s">
        <v>17</v>
      </c>
      <c r="M565" t="str">
        <f>VLOOKUP(Table1[[#This Row],[Job_Status]],$V$2:$W$4,2,FALSE)</f>
        <v>Good</v>
      </c>
      <c r="N565" s="7">
        <f>VLOOKUP(Table1[[#This Row],[Job_Status]],$V$2:$X$4,3,FALSE)</f>
        <v>0</v>
      </c>
    </row>
    <row r="566" spans="1:14" x14ac:dyDescent="0.3">
      <c r="A566" t="s">
        <v>30</v>
      </c>
      <c r="B566" t="s">
        <v>15</v>
      </c>
      <c r="C566" s="5">
        <v>2.72</v>
      </c>
      <c r="D566" s="7">
        <v>112</v>
      </c>
      <c r="E566" s="6">
        <v>12.39</v>
      </c>
      <c r="F566">
        <v>85</v>
      </c>
      <c r="G566" s="3">
        <v>45007.243055555555</v>
      </c>
      <c r="H566" s="3">
        <v>45007.320833333331</v>
      </c>
      <c r="I566" s="3">
        <v>45007.240277777775</v>
      </c>
      <c r="J566" s="3">
        <v>45007.318055555559</v>
      </c>
      <c r="K566" t="s">
        <v>16</v>
      </c>
      <c r="L566" t="s">
        <v>20</v>
      </c>
      <c r="M566" t="str">
        <f>VLOOKUP(Table1[[#This Row],[Job_Status]],$V$2:$W$4,2,FALSE)</f>
        <v>Good</v>
      </c>
      <c r="N566" s="7">
        <f>VLOOKUP(Table1[[#This Row],[Job_Status]],$V$2:$X$4,3,FALSE)</f>
        <v>0</v>
      </c>
    </row>
    <row r="567" spans="1:14" x14ac:dyDescent="0.3">
      <c r="A567" t="s">
        <v>34</v>
      </c>
      <c r="B567" t="s">
        <v>32</v>
      </c>
      <c r="C567" s="5">
        <v>3.16</v>
      </c>
      <c r="D567" s="7">
        <v>110</v>
      </c>
      <c r="E567" s="6">
        <v>13.71</v>
      </c>
      <c r="F567">
        <v>95</v>
      </c>
      <c r="G567" s="3">
        <v>45007.25</v>
      </c>
      <c r="H567" s="3">
        <v>45007.326388888891</v>
      </c>
      <c r="I567" s="3">
        <v>45007.253472222219</v>
      </c>
      <c r="J567" s="3">
        <v>45007.329861111109</v>
      </c>
      <c r="K567" t="s">
        <v>16</v>
      </c>
      <c r="L567" t="s">
        <v>17</v>
      </c>
      <c r="M567" t="str">
        <f>VLOOKUP(Table1[[#This Row],[Job_Status]],$V$2:$W$4,2,FALSE)</f>
        <v>Good</v>
      </c>
      <c r="N567" s="7">
        <f>VLOOKUP(Table1[[#This Row],[Job_Status]],$V$2:$X$4,3,FALSE)</f>
        <v>0</v>
      </c>
    </row>
    <row r="568" spans="1:14" x14ac:dyDescent="0.3">
      <c r="A568" t="s">
        <v>30</v>
      </c>
      <c r="B568" t="s">
        <v>15</v>
      </c>
      <c r="C568" s="5">
        <v>2.91</v>
      </c>
      <c r="D568" s="7">
        <v>108</v>
      </c>
      <c r="E568" s="6">
        <v>6.09</v>
      </c>
      <c r="F568">
        <v>84</v>
      </c>
      <c r="G568" s="3">
        <v>45007.256944444445</v>
      </c>
      <c r="H568" s="3">
        <v>45007.331944444442</v>
      </c>
      <c r="I568" s="3">
        <v>45007.259027777778</v>
      </c>
      <c r="J568" s="3">
        <v>45007.334027777775</v>
      </c>
      <c r="K568" t="s">
        <v>16</v>
      </c>
      <c r="L568" t="s">
        <v>28</v>
      </c>
      <c r="M568" t="str">
        <f>VLOOKUP(Table1[[#This Row],[Job_Status]],$V$2:$W$4,2,FALSE)</f>
        <v>Good</v>
      </c>
      <c r="N568" s="7">
        <f>VLOOKUP(Table1[[#This Row],[Job_Status]],$V$2:$X$4,3,FALSE)</f>
        <v>0</v>
      </c>
    </row>
    <row r="569" spans="1:14" x14ac:dyDescent="0.3">
      <c r="A569" t="s">
        <v>14</v>
      </c>
      <c r="B569" t="s">
        <v>32</v>
      </c>
      <c r="C569" s="5">
        <v>3.42</v>
      </c>
      <c r="D569" s="7">
        <v>88</v>
      </c>
      <c r="E569" s="6">
        <v>7.35</v>
      </c>
      <c r="F569">
        <v>97</v>
      </c>
      <c r="G569" s="3">
        <v>45007.263888888891</v>
      </c>
      <c r="H569" s="3">
        <v>45007.324999999997</v>
      </c>
      <c r="I569" s="3">
        <v>45007.265972222223</v>
      </c>
      <c r="J569" s="3">
        <v>45007.32708333333</v>
      </c>
      <c r="K569" t="s">
        <v>16</v>
      </c>
      <c r="L569" t="s">
        <v>28</v>
      </c>
      <c r="M569" t="str">
        <f>VLOOKUP(Table1[[#This Row],[Job_Status]],$V$2:$W$4,2,FALSE)</f>
        <v>Good</v>
      </c>
      <c r="N569" s="7">
        <f>VLOOKUP(Table1[[#This Row],[Job_Status]],$V$2:$X$4,3,FALSE)</f>
        <v>0</v>
      </c>
    </row>
    <row r="570" spans="1:14" x14ac:dyDescent="0.3">
      <c r="A570" t="s">
        <v>40</v>
      </c>
      <c r="B570" t="s">
        <v>15</v>
      </c>
      <c r="C570" s="5">
        <v>2.7</v>
      </c>
      <c r="D570" s="7">
        <v>74</v>
      </c>
      <c r="E570" s="6">
        <v>2.4700000000000002</v>
      </c>
      <c r="F570">
        <v>95</v>
      </c>
      <c r="G570" s="3">
        <v>45007.270833333336</v>
      </c>
      <c r="H570" s="3">
        <v>45007.322222222225</v>
      </c>
      <c r="I570" s="3">
        <v>45007.291666666664</v>
      </c>
      <c r="J570" s="3">
        <v>45007.343055555553</v>
      </c>
      <c r="K570" t="s">
        <v>19</v>
      </c>
      <c r="L570" t="s">
        <v>20</v>
      </c>
      <c r="M570" t="str">
        <f>VLOOKUP(Table1[[#This Row],[Job_Status]],$V$2:$W$4,2,FALSE)</f>
        <v>Good</v>
      </c>
      <c r="N570" s="7">
        <f>VLOOKUP(Table1[[#This Row],[Job_Status]],$V$2:$X$4,3,FALSE)</f>
        <v>0</v>
      </c>
    </row>
    <row r="571" spans="1:14" x14ac:dyDescent="0.3">
      <c r="A571" t="s">
        <v>30</v>
      </c>
      <c r="B571" t="s">
        <v>15</v>
      </c>
      <c r="C571" s="5">
        <v>3.08</v>
      </c>
      <c r="D571" s="7">
        <v>52</v>
      </c>
      <c r="E571" s="6">
        <v>10.42</v>
      </c>
      <c r="F571">
        <v>96</v>
      </c>
      <c r="G571" s="3">
        <v>45007.277777777781</v>
      </c>
      <c r="H571" s="3">
        <v>45007.313888888886</v>
      </c>
      <c r="I571" s="3">
        <v>45007.277083333334</v>
      </c>
      <c r="J571" s="3">
        <v>45007.313194444447</v>
      </c>
      <c r="K571" t="s">
        <v>16</v>
      </c>
      <c r="L571" t="s">
        <v>20</v>
      </c>
      <c r="M571" t="str">
        <f>VLOOKUP(Table1[[#This Row],[Job_Status]],$V$2:$W$4,2,FALSE)</f>
        <v>Good</v>
      </c>
      <c r="N571" s="7">
        <f>VLOOKUP(Table1[[#This Row],[Job_Status]],$V$2:$X$4,3,FALSE)</f>
        <v>0</v>
      </c>
    </row>
    <row r="572" spans="1:14" x14ac:dyDescent="0.3">
      <c r="A572" t="s">
        <v>40</v>
      </c>
      <c r="B572" t="s">
        <v>15</v>
      </c>
      <c r="C572" s="5">
        <v>3.17</v>
      </c>
      <c r="D572" s="7">
        <v>67</v>
      </c>
      <c r="E572" s="6">
        <v>13.2</v>
      </c>
      <c r="F572">
        <v>91</v>
      </c>
      <c r="G572" s="3">
        <v>45007.284722222219</v>
      </c>
      <c r="H572" s="3">
        <v>45007.331250000003</v>
      </c>
      <c r="I572" s="3">
        <v>45007.283333333333</v>
      </c>
      <c r="J572" s="3">
        <v>45007.329861111109</v>
      </c>
      <c r="K572" t="s">
        <v>16</v>
      </c>
      <c r="L572" t="s">
        <v>20</v>
      </c>
      <c r="M572" t="str">
        <f>VLOOKUP(Table1[[#This Row],[Job_Status]],$V$2:$W$4,2,FALSE)</f>
        <v>Good</v>
      </c>
      <c r="N572" s="7">
        <f>VLOOKUP(Table1[[#This Row],[Job_Status]],$V$2:$X$4,3,FALSE)</f>
        <v>0</v>
      </c>
    </row>
    <row r="573" spans="1:14" x14ac:dyDescent="0.3">
      <c r="A573" t="s">
        <v>40</v>
      </c>
      <c r="B573" t="s">
        <v>36</v>
      </c>
      <c r="C573" s="5">
        <v>4.71</v>
      </c>
      <c r="D573" s="7">
        <v>85</v>
      </c>
      <c r="E573" s="6">
        <v>8.3699999999999992</v>
      </c>
      <c r="F573">
        <v>97</v>
      </c>
      <c r="G573" s="3">
        <v>45007.291666666664</v>
      </c>
      <c r="H573" s="3">
        <v>45007.350694444445</v>
      </c>
      <c r="K573" t="s">
        <v>24</v>
      </c>
      <c r="L573" t="s">
        <v>20</v>
      </c>
      <c r="M573" t="str">
        <f>VLOOKUP(Table1[[#This Row],[Job_Status]],$V$2:$W$4,2,FALSE)</f>
        <v>Defect</v>
      </c>
      <c r="N573" s="7">
        <f>VLOOKUP(Table1[[#This Row],[Job_Status]],$V$2:$X$4,3,FALSE)</f>
        <v>100</v>
      </c>
    </row>
    <row r="574" spans="1:14" x14ac:dyDescent="0.3">
      <c r="A574" t="s">
        <v>22</v>
      </c>
      <c r="B574" t="s">
        <v>23</v>
      </c>
      <c r="C574" s="5">
        <v>1.44</v>
      </c>
      <c r="D574" s="7">
        <v>90</v>
      </c>
      <c r="E574" s="6">
        <v>11.44</v>
      </c>
      <c r="F574">
        <v>94</v>
      </c>
      <c r="G574" s="3">
        <v>45007.298611111109</v>
      </c>
      <c r="H574" s="3">
        <v>45007.361111111109</v>
      </c>
      <c r="I574" s="3">
        <v>45007.3</v>
      </c>
      <c r="J574" s="3">
        <v>45007.362500000003</v>
      </c>
      <c r="K574" t="s">
        <v>16</v>
      </c>
      <c r="L574" t="s">
        <v>17</v>
      </c>
      <c r="M574" t="str">
        <f>VLOOKUP(Table1[[#This Row],[Job_Status]],$V$2:$W$4,2,FALSE)</f>
        <v>Good</v>
      </c>
      <c r="N574" s="7">
        <f>VLOOKUP(Table1[[#This Row],[Job_Status]],$V$2:$X$4,3,FALSE)</f>
        <v>0</v>
      </c>
    </row>
    <row r="575" spans="1:14" x14ac:dyDescent="0.3">
      <c r="A575" t="s">
        <v>40</v>
      </c>
      <c r="B575" t="s">
        <v>27</v>
      </c>
      <c r="C575" s="5">
        <v>1.02</v>
      </c>
      <c r="D575" s="7">
        <v>70</v>
      </c>
      <c r="E575" s="6">
        <v>6.78</v>
      </c>
      <c r="F575">
        <v>86</v>
      </c>
      <c r="G575" s="3">
        <v>45007.305555555555</v>
      </c>
      <c r="H575" s="3">
        <v>45007.354166666664</v>
      </c>
      <c r="K575" t="s">
        <v>24</v>
      </c>
      <c r="L575" t="s">
        <v>20</v>
      </c>
      <c r="M575" t="str">
        <f>VLOOKUP(Table1[[#This Row],[Job_Status]],$V$2:$W$4,2,FALSE)</f>
        <v>Defect</v>
      </c>
      <c r="N575" s="7">
        <f>VLOOKUP(Table1[[#This Row],[Job_Status]],$V$2:$X$4,3,FALSE)</f>
        <v>100</v>
      </c>
    </row>
    <row r="576" spans="1:14" x14ac:dyDescent="0.3">
      <c r="A576" t="s">
        <v>30</v>
      </c>
      <c r="B576" t="s">
        <v>32</v>
      </c>
      <c r="C576" s="5">
        <v>2.31</v>
      </c>
      <c r="D576" s="7">
        <v>23</v>
      </c>
      <c r="E576" s="6">
        <v>5.63</v>
      </c>
      <c r="F576">
        <v>98</v>
      </c>
      <c r="G576" s="3">
        <v>45007.3125</v>
      </c>
      <c r="H576" s="3">
        <v>45007.328472222223</v>
      </c>
      <c r="I576" s="3">
        <v>45007.311805555553</v>
      </c>
      <c r="J576" s="3">
        <v>45007.327777777777</v>
      </c>
      <c r="K576" t="s">
        <v>16</v>
      </c>
      <c r="L576" t="s">
        <v>20</v>
      </c>
      <c r="M576" t="str">
        <f>VLOOKUP(Table1[[#This Row],[Job_Status]],$V$2:$W$4,2,FALSE)</f>
        <v>Good</v>
      </c>
      <c r="N576" s="7">
        <f>VLOOKUP(Table1[[#This Row],[Job_Status]],$V$2:$X$4,3,FALSE)</f>
        <v>0</v>
      </c>
    </row>
    <row r="577" spans="1:14" x14ac:dyDescent="0.3">
      <c r="A577" t="s">
        <v>34</v>
      </c>
      <c r="B577" t="s">
        <v>23</v>
      </c>
      <c r="C577" s="5">
        <v>1.99</v>
      </c>
      <c r="D577" s="7">
        <v>120</v>
      </c>
      <c r="E577" s="6">
        <v>2.21</v>
      </c>
      <c r="F577">
        <v>93</v>
      </c>
      <c r="G577" s="3">
        <v>45007.319444444445</v>
      </c>
      <c r="H577" s="3">
        <v>45007.402777777781</v>
      </c>
      <c r="I577" s="3">
        <v>45007.337500000001</v>
      </c>
      <c r="J577" s="3">
        <v>45007.42083333333</v>
      </c>
      <c r="K577" t="s">
        <v>19</v>
      </c>
      <c r="L577" t="s">
        <v>20</v>
      </c>
      <c r="M577" t="str">
        <f>VLOOKUP(Table1[[#This Row],[Job_Status]],$V$2:$W$4,2,FALSE)</f>
        <v>Good</v>
      </c>
      <c r="N577" s="7">
        <f>VLOOKUP(Table1[[#This Row],[Job_Status]],$V$2:$X$4,3,FALSE)</f>
        <v>0</v>
      </c>
    </row>
    <row r="578" spans="1:14" x14ac:dyDescent="0.3">
      <c r="A578" t="s">
        <v>40</v>
      </c>
      <c r="B578" t="s">
        <v>27</v>
      </c>
      <c r="C578" s="5">
        <v>2.29</v>
      </c>
      <c r="D578" s="7">
        <v>65</v>
      </c>
      <c r="E578" s="6">
        <v>3.67</v>
      </c>
      <c r="F578">
        <v>87</v>
      </c>
      <c r="G578" s="3">
        <v>45007.326388888891</v>
      </c>
      <c r="H578" s="3">
        <v>45007.371527777781</v>
      </c>
      <c r="I578" s="3">
        <v>45007.327777777777</v>
      </c>
      <c r="J578" s="3">
        <v>45007.372916666667</v>
      </c>
      <c r="K578" t="s">
        <v>16</v>
      </c>
      <c r="L578" t="s">
        <v>28</v>
      </c>
      <c r="M578" t="str">
        <f>VLOOKUP(Table1[[#This Row],[Job_Status]],$V$2:$W$4,2,FALSE)</f>
        <v>Good</v>
      </c>
      <c r="N578" s="7">
        <f>VLOOKUP(Table1[[#This Row],[Job_Status]],$V$2:$X$4,3,FALSE)</f>
        <v>0</v>
      </c>
    </row>
    <row r="579" spans="1:14" x14ac:dyDescent="0.3">
      <c r="A579" t="s">
        <v>22</v>
      </c>
      <c r="B579" t="s">
        <v>36</v>
      </c>
      <c r="C579" s="5">
        <v>3.71</v>
      </c>
      <c r="D579" s="7">
        <v>99</v>
      </c>
      <c r="E579" s="6">
        <v>5.13</v>
      </c>
      <c r="F579">
        <v>90</v>
      </c>
      <c r="G579" s="3">
        <v>45007.333333333336</v>
      </c>
      <c r="H579" s="3">
        <v>45007.402083333334</v>
      </c>
      <c r="I579" s="3">
        <v>45007.347222222219</v>
      </c>
      <c r="J579" s="3">
        <v>45007.415972222225</v>
      </c>
      <c r="K579" t="s">
        <v>19</v>
      </c>
      <c r="L579" t="s">
        <v>20</v>
      </c>
      <c r="M579" t="str">
        <f>VLOOKUP(Table1[[#This Row],[Job_Status]],$V$2:$W$4,2,FALSE)</f>
        <v>Good</v>
      </c>
      <c r="N579" s="7">
        <f>VLOOKUP(Table1[[#This Row],[Job_Status]],$V$2:$X$4,3,FALSE)</f>
        <v>0</v>
      </c>
    </row>
    <row r="580" spans="1:14" x14ac:dyDescent="0.3">
      <c r="A580" t="s">
        <v>40</v>
      </c>
      <c r="B580" t="s">
        <v>27</v>
      </c>
      <c r="C580" s="5">
        <v>2.88</v>
      </c>
      <c r="D580" s="7">
        <v>84</v>
      </c>
      <c r="E580" s="6">
        <v>4.29</v>
      </c>
      <c r="F580">
        <v>90</v>
      </c>
      <c r="G580" s="3">
        <v>45007.340277777781</v>
      </c>
      <c r="H580" s="3">
        <v>45007.398611111108</v>
      </c>
      <c r="I580" s="3">
        <v>45007.336805555555</v>
      </c>
      <c r="J580" s="3">
        <v>45007.395138888889</v>
      </c>
      <c r="K580" t="s">
        <v>16</v>
      </c>
      <c r="L580" t="s">
        <v>20</v>
      </c>
      <c r="M580" t="str">
        <f>VLOOKUP(Table1[[#This Row],[Job_Status]],$V$2:$W$4,2,FALSE)</f>
        <v>Good</v>
      </c>
      <c r="N580" s="7">
        <f>VLOOKUP(Table1[[#This Row],[Job_Status]],$V$2:$X$4,3,FALSE)</f>
        <v>0</v>
      </c>
    </row>
    <row r="581" spans="1:14" x14ac:dyDescent="0.3">
      <c r="A581" t="s">
        <v>40</v>
      </c>
      <c r="B581" t="s">
        <v>36</v>
      </c>
      <c r="C581" s="5">
        <v>3.36</v>
      </c>
      <c r="D581" s="7">
        <v>94</v>
      </c>
      <c r="E581" s="6">
        <v>13.75</v>
      </c>
      <c r="F581">
        <v>86</v>
      </c>
      <c r="G581" s="3">
        <v>45007.347222222219</v>
      </c>
      <c r="H581" s="3">
        <v>45007.412499999999</v>
      </c>
      <c r="I581" s="3">
        <v>45007.348611111112</v>
      </c>
      <c r="J581" s="3">
        <v>45007.413888888892</v>
      </c>
      <c r="K581" t="s">
        <v>16</v>
      </c>
      <c r="L581" t="s">
        <v>17</v>
      </c>
      <c r="M581" t="str">
        <f>VLOOKUP(Table1[[#This Row],[Job_Status]],$V$2:$W$4,2,FALSE)</f>
        <v>Good</v>
      </c>
      <c r="N581" s="7">
        <f>VLOOKUP(Table1[[#This Row],[Job_Status]],$V$2:$X$4,3,FALSE)</f>
        <v>0</v>
      </c>
    </row>
    <row r="582" spans="1:14" x14ac:dyDescent="0.3">
      <c r="A582" t="s">
        <v>22</v>
      </c>
      <c r="B582" t="s">
        <v>32</v>
      </c>
      <c r="C582" s="5">
        <v>3.96</v>
      </c>
      <c r="D582" s="7">
        <v>28</v>
      </c>
      <c r="E582" s="6">
        <v>9.1300000000000008</v>
      </c>
      <c r="F582">
        <v>86</v>
      </c>
      <c r="G582" s="3">
        <v>45007.354166666664</v>
      </c>
      <c r="H582" s="3">
        <v>45007.373611111114</v>
      </c>
      <c r="I582" s="3">
        <v>45007.352083333331</v>
      </c>
      <c r="J582" s="3">
        <v>45007.371527777781</v>
      </c>
      <c r="K582" t="s">
        <v>16</v>
      </c>
      <c r="L582" t="s">
        <v>20</v>
      </c>
      <c r="M582" t="str">
        <f>VLOOKUP(Table1[[#This Row],[Job_Status]],$V$2:$W$4,2,FALSE)</f>
        <v>Good</v>
      </c>
      <c r="N582" s="7">
        <f>VLOOKUP(Table1[[#This Row],[Job_Status]],$V$2:$X$4,3,FALSE)</f>
        <v>0</v>
      </c>
    </row>
    <row r="583" spans="1:14" x14ac:dyDescent="0.3">
      <c r="A583" t="s">
        <v>14</v>
      </c>
      <c r="B583" t="s">
        <v>23</v>
      </c>
      <c r="C583" s="5">
        <v>3.37</v>
      </c>
      <c r="D583" s="7">
        <v>67</v>
      </c>
      <c r="E583" s="6">
        <v>11.24</v>
      </c>
      <c r="F583">
        <v>98</v>
      </c>
      <c r="G583" s="3">
        <v>45007.361111111109</v>
      </c>
      <c r="H583" s="3">
        <v>45007.407638888886</v>
      </c>
      <c r="I583" s="3">
        <v>45007.362500000003</v>
      </c>
      <c r="J583" s="3">
        <v>45007.40902777778</v>
      </c>
      <c r="K583" t="s">
        <v>16</v>
      </c>
      <c r="L583" t="s">
        <v>17</v>
      </c>
      <c r="M583" t="str">
        <f>VLOOKUP(Table1[[#This Row],[Job_Status]],$V$2:$W$4,2,FALSE)</f>
        <v>Good</v>
      </c>
      <c r="N583" s="7">
        <f>VLOOKUP(Table1[[#This Row],[Job_Status]],$V$2:$X$4,3,FALSE)</f>
        <v>0</v>
      </c>
    </row>
    <row r="584" spans="1:14" x14ac:dyDescent="0.3">
      <c r="A584" t="s">
        <v>40</v>
      </c>
      <c r="B584" t="s">
        <v>15</v>
      </c>
      <c r="C584" s="5">
        <v>2.67</v>
      </c>
      <c r="D584" s="7">
        <v>95</v>
      </c>
      <c r="E584" s="6">
        <v>6.41</v>
      </c>
      <c r="F584">
        <v>85</v>
      </c>
      <c r="G584" s="3">
        <v>45007.368055555555</v>
      </c>
      <c r="H584" s="3">
        <v>45007.434027777781</v>
      </c>
      <c r="I584" s="3">
        <v>45007.386111111111</v>
      </c>
      <c r="J584" s="3">
        <v>45007.45208333333</v>
      </c>
      <c r="K584" t="s">
        <v>19</v>
      </c>
      <c r="L584" t="s">
        <v>20</v>
      </c>
      <c r="M584" t="str">
        <f>VLOOKUP(Table1[[#This Row],[Job_Status]],$V$2:$W$4,2,FALSE)</f>
        <v>Good</v>
      </c>
      <c r="N584" s="7">
        <f>VLOOKUP(Table1[[#This Row],[Job_Status]],$V$2:$X$4,3,FALSE)</f>
        <v>0</v>
      </c>
    </row>
    <row r="585" spans="1:14" x14ac:dyDescent="0.3">
      <c r="A585" t="s">
        <v>30</v>
      </c>
      <c r="B585" t="s">
        <v>32</v>
      </c>
      <c r="C585" s="5">
        <v>4.1500000000000004</v>
      </c>
      <c r="D585" s="7">
        <v>56</v>
      </c>
      <c r="E585" s="6">
        <v>13.47</v>
      </c>
      <c r="F585">
        <v>80</v>
      </c>
      <c r="G585" s="3">
        <v>45007.375</v>
      </c>
      <c r="H585" s="3">
        <v>45007.413888888892</v>
      </c>
      <c r="I585" s="3">
        <v>45007.372916666667</v>
      </c>
      <c r="J585" s="3">
        <v>45007.411805555559</v>
      </c>
      <c r="K585" t="s">
        <v>16</v>
      </c>
      <c r="L585" t="s">
        <v>20</v>
      </c>
      <c r="M585" t="str">
        <f>VLOOKUP(Table1[[#This Row],[Job_Status]],$V$2:$W$4,2,FALSE)</f>
        <v>Good</v>
      </c>
      <c r="N585" s="7">
        <f>VLOOKUP(Table1[[#This Row],[Job_Status]],$V$2:$X$4,3,FALSE)</f>
        <v>0</v>
      </c>
    </row>
    <row r="586" spans="1:14" x14ac:dyDescent="0.3">
      <c r="A586" t="s">
        <v>34</v>
      </c>
      <c r="B586" t="s">
        <v>23</v>
      </c>
      <c r="C586" s="5">
        <v>2.4</v>
      </c>
      <c r="D586" s="7">
        <v>32</v>
      </c>
      <c r="E586" s="6">
        <v>4.8600000000000003</v>
      </c>
      <c r="F586">
        <v>93</v>
      </c>
      <c r="G586" s="3">
        <v>45007.381944444445</v>
      </c>
      <c r="H586" s="3">
        <v>45007.404166666667</v>
      </c>
      <c r="K586" t="s">
        <v>24</v>
      </c>
      <c r="L586" t="s">
        <v>20</v>
      </c>
      <c r="M586" t="str">
        <f>VLOOKUP(Table1[[#This Row],[Job_Status]],$V$2:$W$4,2,FALSE)</f>
        <v>Defect</v>
      </c>
      <c r="N586" s="7">
        <f>VLOOKUP(Table1[[#This Row],[Job_Status]],$V$2:$X$4,3,FALSE)</f>
        <v>100</v>
      </c>
    </row>
    <row r="587" spans="1:14" x14ac:dyDescent="0.3">
      <c r="A587" t="s">
        <v>34</v>
      </c>
      <c r="B587" t="s">
        <v>27</v>
      </c>
      <c r="C587" s="5">
        <v>4.47</v>
      </c>
      <c r="D587" s="7">
        <v>41</v>
      </c>
      <c r="E587" s="6">
        <v>5.15</v>
      </c>
      <c r="F587">
        <v>93</v>
      </c>
      <c r="G587" s="3">
        <v>45007.388888888891</v>
      </c>
      <c r="H587" s="3">
        <v>45007.417361111111</v>
      </c>
      <c r="K587" t="s">
        <v>24</v>
      </c>
      <c r="L587" t="s">
        <v>20</v>
      </c>
      <c r="M587" t="str">
        <f>VLOOKUP(Table1[[#This Row],[Job_Status]],$V$2:$W$4,2,FALSE)</f>
        <v>Defect</v>
      </c>
      <c r="N587" s="7">
        <f>VLOOKUP(Table1[[#This Row],[Job_Status]],$V$2:$X$4,3,FALSE)</f>
        <v>100</v>
      </c>
    </row>
    <row r="588" spans="1:14" x14ac:dyDescent="0.3">
      <c r="A588" t="s">
        <v>14</v>
      </c>
      <c r="B588" t="s">
        <v>23</v>
      </c>
      <c r="C588" s="5">
        <v>4.59</v>
      </c>
      <c r="D588" s="7">
        <v>88</v>
      </c>
      <c r="E588" s="6">
        <v>10.050000000000001</v>
      </c>
      <c r="F588">
        <v>82</v>
      </c>
      <c r="G588" s="3">
        <v>45007.395833333336</v>
      </c>
      <c r="H588" s="3">
        <v>45007.456944444442</v>
      </c>
      <c r="I588" s="3">
        <v>45007.397222222222</v>
      </c>
      <c r="J588" s="3">
        <v>45007.458333333336</v>
      </c>
      <c r="K588" t="s">
        <v>16</v>
      </c>
      <c r="L588" t="s">
        <v>17</v>
      </c>
      <c r="M588" t="str">
        <f>VLOOKUP(Table1[[#This Row],[Job_Status]],$V$2:$W$4,2,FALSE)</f>
        <v>Good</v>
      </c>
      <c r="N588" s="7">
        <f>VLOOKUP(Table1[[#This Row],[Job_Status]],$V$2:$X$4,3,FALSE)</f>
        <v>0</v>
      </c>
    </row>
    <row r="589" spans="1:14" x14ac:dyDescent="0.3">
      <c r="A589" t="s">
        <v>34</v>
      </c>
      <c r="B589" t="s">
        <v>23</v>
      </c>
      <c r="C589" s="5">
        <v>4.67</v>
      </c>
      <c r="D589" s="7">
        <v>80</v>
      </c>
      <c r="E589" s="6">
        <v>6.9</v>
      </c>
      <c r="F589">
        <v>94</v>
      </c>
      <c r="G589" s="3">
        <v>45007.402777777781</v>
      </c>
      <c r="H589" s="3">
        <v>45007.458333333336</v>
      </c>
      <c r="I589" s="3">
        <v>45007.409722222219</v>
      </c>
      <c r="J589" s="3">
        <v>45007.465277777781</v>
      </c>
      <c r="K589" t="s">
        <v>19</v>
      </c>
      <c r="L589" t="s">
        <v>20</v>
      </c>
      <c r="M589" t="str">
        <f>VLOOKUP(Table1[[#This Row],[Job_Status]],$V$2:$W$4,2,FALSE)</f>
        <v>Good</v>
      </c>
      <c r="N589" s="7">
        <f>VLOOKUP(Table1[[#This Row],[Job_Status]],$V$2:$X$4,3,FALSE)</f>
        <v>0</v>
      </c>
    </row>
    <row r="590" spans="1:14" x14ac:dyDescent="0.3">
      <c r="A590" t="s">
        <v>22</v>
      </c>
      <c r="B590" t="s">
        <v>15</v>
      </c>
      <c r="C590" s="5">
        <v>3.57</v>
      </c>
      <c r="D590" s="7">
        <v>96</v>
      </c>
      <c r="E590" s="6">
        <v>13</v>
      </c>
      <c r="F590">
        <v>98</v>
      </c>
      <c r="G590" s="3">
        <v>45007.409722222219</v>
      </c>
      <c r="H590" s="3">
        <v>45007.476388888892</v>
      </c>
      <c r="K590" t="s">
        <v>24</v>
      </c>
      <c r="L590" t="s">
        <v>20</v>
      </c>
      <c r="M590" t="str">
        <f>VLOOKUP(Table1[[#This Row],[Job_Status]],$V$2:$W$4,2,FALSE)</f>
        <v>Defect</v>
      </c>
      <c r="N590" s="7">
        <f>VLOOKUP(Table1[[#This Row],[Job_Status]],$V$2:$X$4,3,FALSE)</f>
        <v>100</v>
      </c>
    </row>
    <row r="591" spans="1:14" x14ac:dyDescent="0.3">
      <c r="A591" t="s">
        <v>40</v>
      </c>
      <c r="B591" t="s">
        <v>23</v>
      </c>
      <c r="C591" s="5">
        <v>4.0599999999999996</v>
      </c>
      <c r="D591" s="7">
        <v>54</v>
      </c>
      <c r="E591" s="6">
        <v>11.89</v>
      </c>
      <c r="F591">
        <v>88</v>
      </c>
      <c r="G591" s="3">
        <v>45007.416666666664</v>
      </c>
      <c r="H591" s="3">
        <v>45007.45416666667</v>
      </c>
      <c r="I591" s="3">
        <v>45007.415972222225</v>
      </c>
      <c r="J591" s="3">
        <v>45007.453472222223</v>
      </c>
      <c r="K591" t="s">
        <v>16</v>
      </c>
      <c r="L591" t="s">
        <v>20</v>
      </c>
      <c r="M591" t="str">
        <f>VLOOKUP(Table1[[#This Row],[Job_Status]],$V$2:$W$4,2,FALSE)</f>
        <v>Good</v>
      </c>
      <c r="N591" s="7">
        <f>VLOOKUP(Table1[[#This Row],[Job_Status]],$V$2:$X$4,3,FALSE)</f>
        <v>0</v>
      </c>
    </row>
    <row r="592" spans="1:14" x14ac:dyDescent="0.3">
      <c r="A592" t="s">
        <v>40</v>
      </c>
      <c r="B592" t="s">
        <v>27</v>
      </c>
      <c r="C592" s="5">
        <v>1.72</v>
      </c>
      <c r="D592" s="7">
        <v>110</v>
      </c>
      <c r="E592" s="6">
        <v>3.47</v>
      </c>
      <c r="F592">
        <v>82</v>
      </c>
      <c r="G592" s="3">
        <v>45007.423611111109</v>
      </c>
      <c r="H592" s="3">
        <v>45007.5</v>
      </c>
      <c r="I592" s="3">
        <v>45007.422222222223</v>
      </c>
      <c r="J592" s="3">
        <v>45007.498611111114</v>
      </c>
      <c r="K592" t="s">
        <v>16</v>
      </c>
      <c r="L592" t="s">
        <v>20</v>
      </c>
      <c r="M592" t="str">
        <f>VLOOKUP(Table1[[#This Row],[Job_Status]],$V$2:$W$4,2,FALSE)</f>
        <v>Good</v>
      </c>
      <c r="N592" s="7">
        <f>VLOOKUP(Table1[[#This Row],[Job_Status]],$V$2:$X$4,3,FALSE)</f>
        <v>0</v>
      </c>
    </row>
    <row r="593" spans="1:14" x14ac:dyDescent="0.3">
      <c r="A593" t="s">
        <v>34</v>
      </c>
      <c r="B593" t="s">
        <v>23</v>
      </c>
      <c r="C593" s="5">
        <v>1.8</v>
      </c>
      <c r="D593" s="7">
        <v>70</v>
      </c>
      <c r="E593" s="6">
        <v>13.68</v>
      </c>
      <c r="F593">
        <v>85</v>
      </c>
      <c r="G593" s="3">
        <v>45007.430555555555</v>
      </c>
      <c r="H593" s="3">
        <v>45007.479166666664</v>
      </c>
      <c r="K593" t="s">
        <v>24</v>
      </c>
      <c r="L593" t="s">
        <v>20</v>
      </c>
      <c r="M593" t="str">
        <f>VLOOKUP(Table1[[#This Row],[Job_Status]],$V$2:$W$4,2,FALSE)</f>
        <v>Defect</v>
      </c>
      <c r="N593" s="7">
        <f>VLOOKUP(Table1[[#This Row],[Job_Status]],$V$2:$X$4,3,FALSE)</f>
        <v>100</v>
      </c>
    </row>
    <row r="594" spans="1:14" x14ac:dyDescent="0.3">
      <c r="A594" t="s">
        <v>14</v>
      </c>
      <c r="B594" t="s">
        <v>32</v>
      </c>
      <c r="C594" s="5">
        <v>2.89</v>
      </c>
      <c r="D594" s="7">
        <v>69</v>
      </c>
      <c r="E594" s="6">
        <v>6.62</v>
      </c>
      <c r="F594">
        <v>80</v>
      </c>
      <c r="G594" s="3">
        <v>45007.4375</v>
      </c>
      <c r="H594" s="3">
        <v>45007.48541666667</v>
      </c>
      <c r="K594" t="s">
        <v>24</v>
      </c>
      <c r="L594" t="s">
        <v>20</v>
      </c>
      <c r="M594" t="str">
        <f>VLOOKUP(Table1[[#This Row],[Job_Status]],$V$2:$W$4,2,FALSE)</f>
        <v>Defect</v>
      </c>
      <c r="N594" s="7">
        <f>VLOOKUP(Table1[[#This Row],[Job_Status]],$V$2:$X$4,3,FALSE)</f>
        <v>100</v>
      </c>
    </row>
    <row r="595" spans="1:14" x14ac:dyDescent="0.3">
      <c r="A595" t="s">
        <v>40</v>
      </c>
      <c r="B595" t="s">
        <v>15</v>
      </c>
      <c r="C595" s="5">
        <v>3.12</v>
      </c>
      <c r="D595" s="7">
        <v>87</v>
      </c>
      <c r="E595" s="6">
        <v>6.22</v>
      </c>
      <c r="F595">
        <v>89</v>
      </c>
      <c r="G595" s="3">
        <v>45007.444444444445</v>
      </c>
      <c r="H595" s="3">
        <v>45007.504861111112</v>
      </c>
      <c r="I595" s="3">
        <v>45007.443055555559</v>
      </c>
      <c r="J595" s="3">
        <v>45007.503472222219</v>
      </c>
      <c r="K595" t="s">
        <v>16</v>
      </c>
      <c r="L595" t="s">
        <v>20</v>
      </c>
      <c r="M595" t="str">
        <f>VLOOKUP(Table1[[#This Row],[Job_Status]],$V$2:$W$4,2,FALSE)</f>
        <v>Good</v>
      </c>
      <c r="N595" s="7">
        <f>VLOOKUP(Table1[[#This Row],[Job_Status]],$V$2:$X$4,3,FALSE)</f>
        <v>0</v>
      </c>
    </row>
    <row r="596" spans="1:14" x14ac:dyDescent="0.3">
      <c r="A596" t="s">
        <v>34</v>
      </c>
      <c r="B596" t="s">
        <v>36</v>
      </c>
      <c r="C596" s="5">
        <v>2.2200000000000002</v>
      </c>
      <c r="D596" s="7">
        <v>84</v>
      </c>
      <c r="E596" s="6">
        <v>12.13</v>
      </c>
      <c r="F596">
        <v>86</v>
      </c>
      <c r="G596" s="3">
        <v>45007.451388888891</v>
      </c>
      <c r="H596" s="3">
        <v>45007.509722222225</v>
      </c>
      <c r="I596" s="3">
        <v>45007.449305555558</v>
      </c>
      <c r="J596" s="3">
        <v>45007.507638888892</v>
      </c>
      <c r="K596" t="s">
        <v>16</v>
      </c>
      <c r="L596" t="s">
        <v>20</v>
      </c>
      <c r="M596" t="str">
        <f>VLOOKUP(Table1[[#This Row],[Job_Status]],$V$2:$W$4,2,FALSE)</f>
        <v>Good</v>
      </c>
      <c r="N596" s="7">
        <f>VLOOKUP(Table1[[#This Row],[Job_Status]],$V$2:$X$4,3,FALSE)</f>
        <v>0</v>
      </c>
    </row>
    <row r="597" spans="1:14" x14ac:dyDescent="0.3">
      <c r="A597" t="s">
        <v>34</v>
      </c>
      <c r="B597" t="s">
        <v>27</v>
      </c>
      <c r="C597" s="5">
        <v>4.3</v>
      </c>
      <c r="D597" s="7">
        <v>26</v>
      </c>
      <c r="E597" s="6">
        <v>9.83</v>
      </c>
      <c r="F597">
        <v>83</v>
      </c>
      <c r="G597" s="3">
        <v>45007.458333333336</v>
      </c>
      <c r="H597" s="3">
        <v>45007.476388888892</v>
      </c>
      <c r="I597" s="3">
        <v>45007.456250000003</v>
      </c>
      <c r="J597" s="3">
        <v>45007.474305555559</v>
      </c>
      <c r="K597" t="s">
        <v>16</v>
      </c>
      <c r="L597" t="s">
        <v>20</v>
      </c>
      <c r="M597" t="str">
        <f>VLOOKUP(Table1[[#This Row],[Job_Status]],$V$2:$W$4,2,FALSE)</f>
        <v>Good</v>
      </c>
      <c r="N597" s="7">
        <f>VLOOKUP(Table1[[#This Row],[Job_Status]],$V$2:$X$4,3,FALSE)</f>
        <v>0</v>
      </c>
    </row>
    <row r="598" spans="1:14" x14ac:dyDescent="0.3">
      <c r="A598" t="s">
        <v>30</v>
      </c>
      <c r="B598" t="s">
        <v>23</v>
      </c>
      <c r="C598" s="5">
        <v>4.6900000000000004</v>
      </c>
      <c r="D598" s="7">
        <v>21</v>
      </c>
      <c r="E598" s="6">
        <v>3.03</v>
      </c>
      <c r="F598">
        <v>91</v>
      </c>
      <c r="G598" s="3">
        <v>45007.465277777781</v>
      </c>
      <c r="H598" s="3">
        <v>45007.479861111111</v>
      </c>
      <c r="I598" s="3">
        <v>45007.468055555553</v>
      </c>
      <c r="J598" s="3">
        <v>45007.482638888891</v>
      </c>
      <c r="K598" t="s">
        <v>16</v>
      </c>
      <c r="L598" t="s">
        <v>28</v>
      </c>
      <c r="M598" t="str">
        <f>VLOOKUP(Table1[[#This Row],[Job_Status]],$V$2:$W$4,2,FALSE)</f>
        <v>Good</v>
      </c>
      <c r="N598" s="7">
        <f>VLOOKUP(Table1[[#This Row],[Job_Status]],$V$2:$X$4,3,FALSE)</f>
        <v>0</v>
      </c>
    </row>
    <row r="599" spans="1:14" x14ac:dyDescent="0.3">
      <c r="A599" t="s">
        <v>22</v>
      </c>
      <c r="B599" t="s">
        <v>32</v>
      </c>
      <c r="C599" s="5">
        <v>3.02</v>
      </c>
      <c r="D599" s="7">
        <v>64</v>
      </c>
      <c r="E599" s="6">
        <v>11</v>
      </c>
      <c r="F599">
        <v>88</v>
      </c>
      <c r="G599" s="3">
        <v>45007.472222222219</v>
      </c>
      <c r="H599" s="3">
        <v>45007.51666666667</v>
      </c>
      <c r="I599" s="3">
        <v>45007.474999999999</v>
      </c>
      <c r="J599" s="3">
        <v>45007.519444444442</v>
      </c>
      <c r="K599" t="s">
        <v>16</v>
      </c>
      <c r="L599" t="s">
        <v>17</v>
      </c>
      <c r="M599" t="str">
        <f>VLOOKUP(Table1[[#This Row],[Job_Status]],$V$2:$W$4,2,FALSE)</f>
        <v>Good</v>
      </c>
      <c r="N599" s="7">
        <f>VLOOKUP(Table1[[#This Row],[Job_Status]],$V$2:$X$4,3,FALSE)</f>
        <v>0</v>
      </c>
    </row>
    <row r="600" spans="1:14" x14ac:dyDescent="0.3">
      <c r="A600" t="s">
        <v>22</v>
      </c>
      <c r="B600" t="s">
        <v>23</v>
      </c>
      <c r="C600" s="5">
        <v>4.33</v>
      </c>
      <c r="D600" s="7">
        <v>102</v>
      </c>
      <c r="E600" s="6">
        <v>2.4300000000000002</v>
      </c>
      <c r="F600">
        <v>93</v>
      </c>
      <c r="G600" s="3">
        <v>45007.479166666664</v>
      </c>
      <c r="H600" s="3">
        <v>45007.55</v>
      </c>
      <c r="I600" s="3">
        <v>45007.479861111111</v>
      </c>
      <c r="J600" s="3">
        <v>45007.550694444442</v>
      </c>
      <c r="K600" t="s">
        <v>16</v>
      </c>
      <c r="L600" t="s">
        <v>43</v>
      </c>
      <c r="M600" t="str">
        <f>VLOOKUP(Table1[[#This Row],[Job_Status]],$V$2:$W$4,2,FALSE)</f>
        <v>Good</v>
      </c>
      <c r="N600" s="7">
        <f>VLOOKUP(Table1[[#This Row],[Job_Status]],$V$2:$X$4,3,FALSE)</f>
        <v>0</v>
      </c>
    </row>
    <row r="601" spans="1:14" x14ac:dyDescent="0.3">
      <c r="A601" t="s">
        <v>22</v>
      </c>
      <c r="B601" t="s">
        <v>27</v>
      </c>
      <c r="C601" s="5">
        <v>4.49</v>
      </c>
      <c r="D601" s="7">
        <v>85</v>
      </c>
      <c r="E601" s="6">
        <v>7.05</v>
      </c>
      <c r="F601">
        <v>81</v>
      </c>
      <c r="G601" s="3">
        <v>45007.486111111109</v>
      </c>
      <c r="H601" s="3">
        <v>45007.545138888891</v>
      </c>
      <c r="I601" s="3">
        <v>45007.505555555559</v>
      </c>
      <c r="J601" s="3">
        <v>45007.564583333333</v>
      </c>
      <c r="K601" t="s">
        <v>19</v>
      </c>
      <c r="L601" t="s">
        <v>20</v>
      </c>
      <c r="M601" t="str">
        <f>VLOOKUP(Table1[[#This Row],[Job_Status]],$V$2:$W$4,2,FALSE)</f>
        <v>Good</v>
      </c>
      <c r="N601" s="7">
        <f>VLOOKUP(Table1[[#This Row],[Job_Status]],$V$2:$X$4,3,FALSE)</f>
        <v>0</v>
      </c>
    </row>
    <row r="602" spans="1:14" x14ac:dyDescent="0.3">
      <c r="A602" t="s">
        <v>14</v>
      </c>
      <c r="B602" t="s">
        <v>32</v>
      </c>
      <c r="C602" s="5">
        <v>4.72</v>
      </c>
      <c r="D602" s="7">
        <v>63</v>
      </c>
      <c r="E602" s="6">
        <v>10.66</v>
      </c>
      <c r="F602">
        <v>86</v>
      </c>
      <c r="G602" s="3">
        <v>45007.493055555555</v>
      </c>
      <c r="H602" s="3">
        <v>45007.536805555559</v>
      </c>
      <c r="I602" s="3">
        <v>45007.490972222222</v>
      </c>
      <c r="J602" s="3">
        <v>45007.534722222219</v>
      </c>
      <c r="K602" t="s">
        <v>16</v>
      </c>
      <c r="L602" t="s">
        <v>20</v>
      </c>
      <c r="M602" t="str">
        <f>VLOOKUP(Table1[[#This Row],[Job_Status]],$V$2:$W$4,2,FALSE)</f>
        <v>Good</v>
      </c>
      <c r="N602" s="7">
        <f>VLOOKUP(Table1[[#This Row],[Job_Status]],$V$2:$X$4,3,FALSE)</f>
        <v>0</v>
      </c>
    </row>
    <row r="603" spans="1:14" x14ac:dyDescent="0.3">
      <c r="A603" t="s">
        <v>14</v>
      </c>
      <c r="B603" t="s">
        <v>32</v>
      </c>
      <c r="C603" s="5">
        <v>3.89</v>
      </c>
      <c r="D603" s="7">
        <v>60</v>
      </c>
      <c r="E603" s="6">
        <v>12.62</v>
      </c>
      <c r="F603">
        <v>92</v>
      </c>
      <c r="G603" s="3">
        <v>45007.5</v>
      </c>
      <c r="H603" s="3">
        <v>45007.541666666664</v>
      </c>
      <c r="I603" s="3">
        <v>45007.496527777781</v>
      </c>
      <c r="J603" s="3">
        <v>45007.538194444445</v>
      </c>
      <c r="K603" t="s">
        <v>16</v>
      </c>
      <c r="L603" t="s">
        <v>20</v>
      </c>
      <c r="M603" t="str">
        <f>VLOOKUP(Table1[[#This Row],[Job_Status]],$V$2:$W$4,2,FALSE)</f>
        <v>Good</v>
      </c>
      <c r="N603" s="7">
        <f>VLOOKUP(Table1[[#This Row],[Job_Status]],$V$2:$X$4,3,FALSE)</f>
        <v>0</v>
      </c>
    </row>
    <row r="604" spans="1:14" x14ac:dyDescent="0.3">
      <c r="A604" t="s">
        <v>22</v>
      </c>
      <c r="B604" t="s">
        <v>27</v>
      </c>
      <c r="C604" s="5">
        <v>4.0199999999999996</v>
      </c>
      <c r="D604" s="7">
        <v>79</v>
      </c>
      <c r="E604" s="6">
        <v>7.93</v>
      </c>
      <c r="F604">
        <v>80</v>
      </c>
      <c r="G604" s="3">
        <v>45007.506944444445</v>
      </c>
      <c r="H604" s="3">
        <v>45007.561805555553</v>
      </c>
      <c r="I604" s="3">
        <v>45007.524305555555</v>
      </c>
      <c r="J604" s="3">
        <v>45007.57916666667</v>
      </c>
      <c r="K604" t="s">
        <v>19</v>
      </c>
      <c r="L604" t="s">
        <v>20</v>
      </c>
      <c r="M604" t="str">
        <f>VLOOKUP(Table1[[#This Row],[Job_Status]],$V$2:$W$4,2,FALSE)</f>
        <v>Good</v>
      </c>
      <c r="N604" s="7">
        <f>VLOOKUP(Table1[[#This Row],[Job_Status]],$V$2:$X$4,3,FALSE)</f>
        <v>0</v>
      </c>
    </row>
    <row r="605" spans="1:14" x14ac:dyDescent="0.3">
      <c r="A605" t="s">
        <v>40</v>
      </c>
      <c r="B605" t="s">
        <v>27</v>
      </c>
      <c r="C605" s="5">
        <v>3.24</v>
      </c>
      <c r="D605" s="7">
        <v>90</v>
      </c>
      <c r="E605" s="6">
        <v>7.32</v>
      </c>
      <c r="F605">
        <v>83</v>
      </c>
      <c r="G605" s="3">
        <v>45007.513888888891</v>
      </c>
      <c r="H605" s="3">
        <v>45007.576388888891</v>
      </c>
      <c r="I605" s="3">
        <v>45007.513888888891</v>
      </c>
      <c r="J605" s="3">
        <v>45007.576388888891</v>
      </c>
      <c r="K605" t="s">
        <v>16</v>
      </c>
      <c r="L605" t="s">
        <v>28</v>
      </c>
      <c r="M605" t="str">
        <f>VLOOKUP(Table1[[#This Row],[Job_Status]],$V$2:$W$4,2,FALSE)</f>
        <v>Good</v>
      </c>
      <c r="N605" s="7">
        <f>VLOOKUP(Table1[[#This Row],[Job_Status]],$V$2:$X$4,3,FALSE)</f>
        <v>0</v>
      </c>
    </row>
    <row r="606" spans="1:14" x14ac:dyDescent="0.3">
      <c r="A606" t="s">
        <v>30</v>
      </c>
      <c r="B606" t="s">
        <v>15</v>
      </c>
      <c r="C606" s="5">
        <v>4.66</v>
      </c>
      <c r="D606" s="7">
        <v>104</v>
      </c>
      <c r="E606" s="6">
        <v>4.99</v>
      </c>
      <c r="F606">
        <v>83</v>
      </c>
      <c r="G606" s="3">
        <v>45007.520833333336</v>
      </c>
      <c r="H606" s="3">
        <v>45007.593055555553</v>
      </c>
      <c r="I606" s="3">
        <v>45007.536805555559</v>
      </c>
      <c r="J606" s="3">
        <v>45007.609027777777</v>
      </c>
      <c r="K606" t="s">
        <v>19</v>
      </c>
      <c r="L606" t="s">
        <v>20</v>
      </c>
      <c r="M606" t="str">
        <f>VLOOKUP(Table1[[#This Row],[Job_Status]],$V$2:$W$4,2,FALSE)</f>
        <v>Good</v>
      </c>
      <c r="N606" s="7">
        <f>VLOOKUP(Table1[[#This Row],[Job_Status]],$V$2:$X$4,3,FALSE)</f>
        <v>0</v>
      </c>
    </row>
    <row r="607" spans="1:14" x14ac:dyDescent="0.3">
      <c r="A607" t="s">
        <v>22</v>
      </c>
      <c r="B607" t="s">
        <v>23</v>
      </c>
      <c r="C607" s="5">
        <v>1.43</v>
      </c>
      <c r="D607" s="7">
        <v>25</v>
      </c>
      <c r="E607" s="6">
        <v>9.27</v>
      </c>
      <c r="F607">
        <v>91</v>
      </c>
      <c r="G607" s="3">
        <v>45007.527777777781</v>
      </c>
      <c r="H607" s="3">
        <v>45007.545138888891</v>
      </c>
      <c r="I607" s="3">
        <v>45007.529861111114</v>
      </c>
      <c r="J607" s="3">
        <v>45007.547222222223</v>
      </c>
      <c r="K607" t="s">
        <v>16</v>
      </c>
      <c r="L607" t="s">
        <v>17</v>
      </c>
      <c r="M607" t="str">
        <f>VLOOKUP(Table1[[#This Row],[Job_Status]],$V$2:$W$4,2,FALSE)</f>
        <v>Good</v>
      </c>
      <c r="N607" s="7">
        <f>VLOOKUP(Table1[[#This Row],[Job_Status]],$V$2:$X$4,3,FALSE)</f>
        <v>0</v>
      </c>
    </row>
    <row r="608" spans="1:14" x14ac:dyDescent="0.3">
      <c r="A608" t="s">
        <v>14</v>
      </c>
      <c r="B608" t="s">
        <v>15</v>
      </c>
      <c r="C608" s="5">
        <v>3.62</v>
      </c>
      <c r="D608" s="7">
        <v>103</v>
      </c>
      <c r="E608" s="6">
        <v>11.35</v>
      </c>
      <c r="F608">
        <v>94</v>
      </c>
      <c r="G608" s="3">
        <v>45007.534722222219</v>
      </c>
      <c r="H608" s="3">
        <v>45007.606249999997</v>
      </c>
      <c r="I608" s="3">
        <v>45007.534722222219</v>
      </c>
      <c r="J608" s="3">
        <v>45007.606249999997</v>
      </c>
      <c r="K608" t="s">
        <v>16</v>
      </c>
      <c r="L608" t="s">
        <v>17</v>
      </c>
      <c r="M608" t="str">
        <f>VLOOKUP(Table1[[#This Row],[Job_Status]],$V$2:$W$4,2,FALSE)</f>
        <v>Good</v>
      </c>
      <c r="N608" s="7">
        <f>VLOOKUP(Table1[[#This Row],[Job_Status]],$V$2:$X$4,3,FALSE)</f>
        <v>0</v>
      </c>
    </row>
    <row r="609" spans="1:14" x14ac:dyDescent="0.3">
      <c r="A609" t="s">
        <v>40</v>
      </c>
      <c r="B609" t="s">
        <v>32</v>
      </c>
      <c r="C609" s="5">
        <v>4.97</v>
      </c>
      <c r="D609" s="7">
        <v>79</v>
      </c>
      <c r="E609" s="6">
        <v>13.93</v>
      </c>
      <c r="F609">
        <v>94</v>
      </c>
      <c r="G609" s="3">
        <v>45007.541666666664</v>
      </c>
      <c r="H609" s="3">
        <v>45007.59652777778</v>
      </c>
      <c r="K609" t="s">
        <v>24</v>
      </c>
      <c r="L609" t="s">
        <v>20</v>
      </c>
      <c r="M609" t="str">
        <f>VLOOKUP(Table1[[#This Row],[Job_Status]],$V$2:$W$4,2,FALSE)</f>
        <v>Defect</v>
      </c>
      <c r="N609" s="7">
        <f>VLOOKUP(Table1[[#This Row],[Job_Status]],$V$2:$X$4,3,FALSE)</f>
        <v>100</v>
      </c>
    </row>
    <row r="610" spans="1:14" x14ac:dyDescent="0.3">
      <c r="A610" t="s">
        <v>40</v>
      </c>
      <c r="B610" t="s">
        <v>27</v>
      </c>
      <c r="C610" s="5">
        <v>3.36</v>
      </c>
      <c r="D610" s="7">
        <v>118</v>
      </c>
      <c r="E610" s="6">
        <v>7.23</v>
      </c>
      <c r="F610">
        <v>95</v>
      </c>
      <c r="G610" s="3">
        <v>45007.548611111109</v>
      </c>
      <c r="H610" s="3">
        <v>45007.630555555559</v>
      </c>
      <c r="K610" t="s">
        <v>24</v>
      </c>
      <c r="L610" t="s">
        <v>20</v>
      </c>
      <c r="M610" t="str">
        <f>VLOOKUP(Table1[[#This Row],[Job_Status]],$V$2:$W$4,2,FALSE)</f>
        <v>Defect</v>
      </c>
      <c r="N610" s="7">
        <f>VLOOKUP(Table1[[#This Row],[Job_Status]],$V$2:$X$4,3,FALSE)</f>
        <v>100</v>
      </c>
    </row>
    <row r="611" spans="1:14" x14ac:dyDescent="0.3">
      <c r="A611" t="s">
        <v>40</v>
      </c>
      <c r="B611" t="s">
        <v>27</v>
      </c>
      <c r="C611" s="5">
        <v>3.04</v>
      </c>
      <c r="D611" s="7">
        <v>85</v>
      </c>
      <c r="E611" s="6">
        <v>3.08</v>
      </c>
      <c r="F611">
        <v>82</v>
      </c>
      <c r="G611" s="3">
        <v>45007.555555555555</v>
      </c>
      <c r="H611" s="3">
        <v>45007.614583333336</v>
      </c>
      <c r="K611" t="s">
        <v>24</v>
      </c>
      <c r="L611" t="s">
        <v>20</v>
      </c>
      <c r="M611" t="str">
        <f>VLOOKUP(Table1[[#This Row],[Job_Status]],$V$2:$W$4,2,FALSE)</f>
        <v>Defect</v>
      </c>
      <c r="N611" s="7">
        <f>VLOOKUP(Table1[[#This Row],[Job_Status]],$V$2:$X$4,3,FALSE)</f>
        <v>100</v>
      </c>
    </row>
    <row r="612" spans="1:14" x14ac:dyDescent="0.3">
      <c r="A612" t="s">
        <v>14</v>
      </c>
      <c r="B612" t="s">
        <v>27</v>
      </c>
      <c r="C612" s="5">
        <v>2.91</v>
      </c>
      <c r="D612" s="7">
        <v>116</v>
      </c>
      <c r="E612" s="6">
        <v>2.46</v>
      </c>
      <c r="F612">
        <v>87</v>
      </c>
      <c r="G612" s="3">
        <v>45007.5625</v>
      </c>
      <c r="H612" s="3">
        <v>45007.643055555556</v>
      </c>
      <c r="K612" t="s">
        <v>24</v>
      </c>
      <c r="L612" t="s">
        <v>20</v>
      </c>
      <c r="M612" t="str">
        <f>VLOOKUP(Table1[[#This Row],[Job_Status]],$V$2:$W$4,2,FALSE)</f>
        <v>Defect</v>
      </c>
      <c r="N612" s="7">
        <f>VLOOKUP(Table1[[#This Row],[Job_Status]],$V$2:$X$4,3,FALSE)</f>
        <v>100</v>
      </c>
    </row>
    <row r="613" spans="1:14" x14ac:dyDescent="0.3">
      <c r="A613" t="s">
        <v>14</v>
      </c>
      <c r="B613" t="s">
        <v>27</v>
      </c>
      <c r="C613" s="5">
        <v>2.38</v>
      </c>
      <c r="D613" s="7">
        <v>70</v>
      </c>
      <c r="E613" s="6">
        <v>7.41</v>
      </c>
      <c r="F613">
        <v>80</v>
      </c>
      <c r="G613" s="3">
        <v>45007.569444444445</v>
      </c>
      <c r="H613" s="3">
        <v>45007.618055555555</v>
      </c>
      <c r="K613" t="s">
        <v>24</v>
      </c>
      <c r="L613" t="s">
        <v>20</v>
      </c>
      <c r="M613" t="str">
        <f>VLOOKUP(Table1[[#This Row],[Job_Status]],$V$2:$W$4,2,FALSE)</f>
        <v>Defect</v>
      </c>
      <c r="N613" s="7">
        <f>VLOOKUP(Table1[[#This Row],[Job_Status]],$V$2:$X$4,3,FALSE)</f>
        <v>100</v>
      </c>
    </row>
    <row r="614" spans="1:14" x14ac:dyDescent="0.3">
      <c r="A614" t="s">
        <v>40</v>
      </c>
      <c r="B614" t="s">
        <v>27</v>
      </c>
      <c r="C614" s="5">
        <v>1.55</v>
      </c>
      <c r="D614" s="7">
        <v>102</v>
      </c>
      <c r="E614" s="6">
        <v>14</v>
      </c>
      <c r="F614">
        <v>80</v>
      </c>
      <c r="G614" s="3">
        <v>45007.576388888891</v>
      </c>
      <c r="H614" s="3">
        <v>45007.647222222222</v>
      </c>
      <c r="K614" t="s">
        <v>24</v>
      </c>
      <c r="L614" t="s">
        <v>20</v>
      </c>
      <c r="M614" t="str">
        <f>VLOOKUP(Table1[[#This Row],[Job_Status]],$V$2:$W$4,2,FALSE)</f>
        <v>Defect</v>
      </c>
      <c r="N614" s="7">
        <f>VLOOKUP(Table1[[#This Row],[Job_Status]],$V$2:$X$4,3,FALSE)</f>
        <v>100</v>
      </c>
    </row>
    <row r="615" spans="1:14" x14ac:dyDescent="0.3">
      <c r="A615" t="s">
        <v>40</v>
      </c>
      <c r="B615" t="s">
        <v>23</v>
      </c>
      <c r="C615" s="5">
        <v>4.0199999999999996</v>
      </c>
      <c r="D615" s="7">
        <v>66</v>
      </c>
      <c r="E615" s="6">
        <v>6.01</v>
      </c>
      <c r="F615">
        <v>84</v>
      </c>
      <c r="G615" s="3">
        <v>45007.583333333336</v>
      </c>
      <c r="H615" s="3">
        <v>45007.629166666666</v>
      </c>
      <c r="I615" s="3">
        <v>45007.584027777775</v>
      </c>
      <c r="J615" s="3">
        <v>45007.629861111112</v>
      </c>
      <c r="K615" t="s">
        <v>16</v>
      </c>
      <c r="L615" t="s">
        <v>28</v>
      </c>
      <c r="M615" t="str">
        <f>VLOOKUP(Table1[[#This Row],[Job_Status]],$V$2:$W$4,2,FALSE)</f>
        <v>Good</v>
      </c>
      <c r="N615" s="7">
        <f>VLOOKUP(Table1[[#This Row],[Job_Status]],$V$2:$X$4,3,FALSE)</f>
        <v>0</v>
      </c>
    </row>
    <row r="616" spans="1:14" x14ac:dyDescent="0.3">
      <c r="A616" t="s">
        <v>14</v>
      </c>
      <c r="B616" t="s">
        <v>27</v>
      </c>
      <c r="C616" s="5">
        <v>4.24</v>
      </c>
      <c r="D616" s="7">
        <v>77</v>
      </c>
      <c r="E616" s="6">
        <v>5.71</v>
      </c>
      <c r="F616">
        <v>81</v>
      </c>
      <c r="G616" s="3">
        <v>45007.590277777781</v>
      </c>
      <c r="H616" s="3">
        <v>45007.643750000003</v>
      </c>
      <c r="I616" s="3">
        <v>45007.590277777781</v>
      </c>
      <c r="J616" s="3">
        <v>45007.643750000003</v>
      </c>
      <c r="K616" t="s">
        <v>16</v>
      </c>
      <c r="L616" t="s">
        <v>28</v>
      </c>
      <c r="M616" t="str">
        <f>VLOOKUP(Table1[[#This Row],[Job_Status]],$V$2:$W$4,2,FALSE)</f>
        <v>Good</v>
      </c>
      <c r="N616" s="7">
        <f>VLOOKUP(Table1[[#This Row],[Job_Status]],$V$2:$X$4,3,FALSE)</f>
        <v>0</v>
      </c>
    </row>
    <row r="617" spans="1:14" x14ac:dyDescent="0.3">
      <c r="A617" t="s">
        <v>30</v>
      </c>
      <c r="B617" t="s">
        <v>32</v>
      </c>
      <c r="C617" s="5">
        <v>3.24</v>
      </c>
      <c r="D617" s="7">
        <v>53</v>
      </c>
      <c r="E617" s="6">
        <v>12.27</v>
      </c>
      <c r="F617">
        <v>81</v>
      </c>
      <c r="G617" s="3">
        <v>45007.597222222219</v>
      </c>
      <c r="H617" s="3">
        <v>45007.634027777778</v>
      </c>
      <c r="I617" s="3">
        <v>45007.613888888889</v>
      </c>
      <c r="J617" s="3">
        <v>45007.650694444441</v>
      </c>
      <c r="K617" t="s">
        <v>19</v>
      </c>
      <c r="L617" t="s">
        <v>20</v>
      </c>
      <c r="M617" t="str">
        <f>VLOOKUP(Table1[[#This Row],[Job_Status]],$V$2:$W$4,2,FALSE)</f>
        <v>Good</v>
      </c>
      <c r="N617" s="7">
        <f>VLOOKUP(Table1[[#This Row],[Job_Status]],$V$2:$X$4,3,FALSE)</f>
        <v>0</v>
      </c>
    </row>
    <row r="618" spans="1:14" x14ac:dyDescent="0.3">
      <c r="A618" t="s">
        <v>14</v>
      </c>
      <c r="B618" t="s">
        <v>23</v>
      </c>
      <c r="C618" s="5">
        <v>1.45</v>
      </c>
      <c r="D618" s="7">
        <v>45</v>
      </c>
      <c r="E618" s="6">
        <v>6.11</v>
      </c>
      <c r="F618">
        <v>93</v>
      </c>
      <c r="G618" s="3">
        <v>45007.604166666664</v>
      </c>
      <c r="H618" s="3">
        <v>45007.635416666664</v>
      </c>
      <c r="K618" t="s">
        <v>24</v>
      </c>
      <c r="L618" t="s">
        <v>20</v>
      </c>
      <c r="M618" t="str">
        <f>VLOOKUP(Table1[[#This Row],[Job_Status]],$V$2:$W$4,2,FALSE)</f>
        <v>Defect</v>
      </c>
      <c r="N618" s="7">
        <f>VLOOKUP(Table1[[#This Row],[Job_Status]],$V$2:$X$4,3,FALSE)</f>
        <v>100</v>
      </c>
    </row>
    <row r="619" spans="1:14" x14ac:dyDescent="0.3">
      <c r="A619" t="s">
        <v>14</v>
      </c>
      <c r="B619" t="s">
        <v>36</v>
      </c>
      <c r="C619" s="5">
        <v>2.09</v>
      </c>
      <c r="D619" s="7">
        <v>66</v>
      </c>
      <c r="E619" s="6">
        <v>11.05</v>
      </c>
      <c r="F619">
        <v>91</v>
      </c>
      <c r="G619" s="3">
        <v>45007.611111111109</v>
      </c>
      <c r="H619" s="3">
        <v>45007.656944444447</v>
      </c>
      <c r="I619" s="3">
        <v>45007.61041666667</v>
      </c>
      <c r="J619" s="3">
        <v>45007.65625</v>
      </c>
      <c r="K619" t="s">
        <v>16</v>
      </c>
      <c r="L619" t="s">
        <v>20</v>
      </c>
      <c r="M619" t="str">
        <f>VLOOKUP(Table1[[#This Row],[Job_Status]],$V$2:$W$4,2,FALSE)</f>
        <v>Good</v>
      </c>
      <c r="N619" s="7">
        <f>VLOOKUP(Table1[[#This Row],[Job_Status]],$V$2:$X$4,3,FALSE)</f>
        <v>0</v>
      </c>
    </row>
    <row r="620" spans="1:14" x14ac:dyDescent="0.3">
      <c r="A620" t="s">
        <v>30</v>
      </c>
      <c r="B620" t="s">
        <v>27</v>
      </c>
      <c r="C620" s="5">
        <v>3.83</v>
      </c>
      <c r="D620" s="7">
        <v>94</v>
      </c>
      <c r="E620" s="6">
        <v>13.39</v>
      </c>
      <c r="F620">
        <v>84</v>
      </c>
      <c r="G620" s="3">
        <v>45007.618055555555</v>
      </c>
      <c r="H620" s="3">
        <v>45007.683333333334</v>
      </c>
      <c r="I620" s="3">
        <v>45007.618750000001</v>
      </c>
      <c r="J620" s="3">
        <v>45007.684027777781</v>
      </c>
      <c r="K620" t="s">
        <v>16</v>
      </c>
      <c r="L620" t="s">
        <v>17</v>
      </c>
      <c r="M620" t="str">
        <f>VLOOKUP(Table1[[#This Row],[Job_Status]],$V$2:$W$4,2,FALSE)</f>
        <v>Good</v>
      </c>
      <c r="N620" s="7">
        <f>VLOOKUP(Table1[[#This Row],[Job_Status]],$V$2:$X$4,3,FALSE)</f>
        <v>0</v>
      </c>
    </row>
    <row r="621" spans="1:14" x14ac:dyDescent="0.3">
      <c r="A621" t="s">
        <v>14</v>
      </c>
      <c r="B621" t="s">
        <v>15</v>
      </c>
      <c r="C621" s="5">
        <v>1.04</v>
      </c>
      <c r="D621" s="7">
        <v>114</v>
      </c>
      <c r="E621" s="6">
        <v>11.61</v>
      </c>
      <c r="F621">
        <v>98</v>
      </c>
      <c r="G621" s="3">
        <v>45007.625</v>
      </c>
      <c r="H621" s="3">
        <v>45007.70416666667</v>
      </c>
      <c r="I621" s="3">
        <v>45007.638194444444</v>
      </c>
      <c r="J621" s="3">
        <v>45007.717361111114</v>
      </c>
      <c r="K621" t="s">
        <v>19</v>
      </c>
      <c r="L621" t="s">
        <v>20</v>
      </c>
      <c r="M621" t="str">
        <f>VLOOKUP(Table1[[#This Row],[Job_Status]],$V$2:$W$4,2,FALSE)</f>
        <v>Good</v>
      </c>
      <c r="N621" s="7">
        <f>VLOOKUP(Table1[[#This Row],[Job_Status]],$V$2:$X$4,3,FALSE)</f>
        <v>0</v>
      </c>
    </row>
    <row r="622" spans="1:14" x14ac:dyDescent="0.3">
      <c r="A622" t="s">
        <v>14</v>
      </c>
      <c r="B622" t="s">
        <v>23</v>
      </c>
      <c r="C622" s="5">
        <v>3.85</v>
      </c>
      <c r="D622" s="7">
        <v>112</v>
      </c>
      <c r="E622" s="6">
        <v>13.5</v>
      </c>
      <c r="F622">
        <v>85</v>
      </c>
      <c r="G622" s="3">
        <v>45007.631944444445</v>
      </c>
      <c r="H622" s="3">
        <v>45007.709722222222</v>
      </c>
      <c r="I622" s="3">
        <v>45007.633333333331</v>
      </c>
      <c r="J622" s="3">
        <v>45007.711111111108</v>
      </c>
      <c r="K622" t="s">
        <v>16</v>
      </c>
      <c r="L622" t="s">
        <v>17</v>
      </c>
      <c r="M622" t="str">
        <f>VLOOKUP(Table1[[#This Row],[Job_Status]],$V$2:$W$4,2,FALSE)</f>
        <v>Good</v>
      </c>
      <c r="N622" s="7">
        <f>VLOOKUP(Table1[[#This Row],[Job_Status]],$V$2:$X$4,3,FALSE)</f>
        <v>0</v>
      </c>
    </row>
    <row r="623" spans="1:14" x14ac:dyDescent="0.3">
      <c r="A623" t="s">
        <v>34</v>
      </c>
      <c r="B623" t="s">
        <v>36</v>
      </c>
      <c r="C623" s="5">
        <v>4.68</v>
      </c>
      <c r="D623" s="7">
        <v>58</v>
      </c>
      <c r="E623" s="6">
        <v>8.91</v>
      </c>
      <c r="F623">
        <v>87</v>
      </c>
      <c r="G623" s="3">
        <v>45007.638888888891</v>
      </c>
      <c r="H623" s="3">
        <v>45007.679166666669</v>
      </c>
      <c r="I623" s="3">
        <v>45007.636805555558</v>
      </c>
      <c r="J623" s="3">
        <v>45007.677083333336</v>
      </c>
      <c r="K623" t="s">
        <v>16</v>
      </c>
      <c r="L623" t="s">
        <v>20</v>
      </c>
      <c r="M623" t="str">
        <f>VLOOKUP(Table1[[#This Row],[Job_Status]],$V$2:$W$4,2,FALSE)</f>
        <v>Good</v>
      </c>
      <c r="N623" s="7">
        <f>VLOOKUP(Table1[[#This Row],[Job_Status]],$V$2:$X$4,3,FALSE)</f>
        <v>0</v>
      </c>
    </row>
    <row r="624" spans="1:14" x14ac:dyDescent="0.3">
      <c r="A624" t="s">
        <v>40</v>
      </c>
      <c r="B624" t="s">
        <v>15</v>
      </c>
      <c r="C624" s="5">
        <v>1.93</v>
      </c>
      <c r="D624" s="7">
        <v>107</v>
      </c>
      <c r="E624" s="6">
        <v>2.2400000000000002</v>
      </c>
      <c r="F624">
        <v>80</v>
      </c>
      <c r="G624" s="3">
        <v>45007.645833333336</v>
      </c>
      <c r="H624" s="3">
        <v>45007.720138888886</v>
      </c>
      <c r="I624" s="3">
        <v>45007.665277777778</v>
      </c>
      <c r="J624" s="3">
        <v>45007.739583333336</v>
      </c>
      <c r="K624" t="s">
        <v>19</v>
      </c>
      <c r="L624" t="s">
        <v>20</v>
      </c>
      <c r="M624" t="str">
        <f>VLOOKUP(Table1[[#This Row],[Job_Status]],$V$2:$W$4,2,FALSE)</f>
        <v>Good</v>
      </c>
      <c r="N624" s="7">
        <f>VLOOKUP(Table1[[#This Row],[Job_Status]],$V$2:$X$4,3,FALSE)</f>
        <v>0</v>
      </c>
    </row>
    <row r="625" spans="1:14" x14ac:dyDescent="0.3">
      <c r="A625" t="s">
        <v>22</v>
      </c>
      <c r="B625" t="s">
        <v>15</v>
      </c>
      <c r="C625" s="5">
        <v>2.4300000000000002</v>
      </c>
      <c r="D625" s="7">
        <v>109</v>
      </c>
      <c r="E625" s="6">
        <v>9.16</v>
      </c>
      <c r="F625">
        <v>81</v>
      </c>
      <c r="G625" s="3">
        <v>45007.652777777781</v>
      </c>
      <c r="H625" s="3">
        <v>45007.728472222225</v>
      </c>
      <c r="I625" s="3">
        <v>45007.652777777781</v>
      </c>
      <c r="J625" s="3">
        <v>45007.728472222225</v>
      </c>
      <c r="K625" t="s">
        <v>16</v>
      </c>
      <c r="L625" t="s">
        <v>28</v>
      </c>
      <c r="M625" t="str">
        <f>VLOOKUP(Table1[[#This Row],[Job_Status]],$V$2:$W$4,2,FALSE)</f>
        <v>Good</v>
      </c>
      <c r="N625" s="7">
        <f>VLOOKUP(Table1[[#This Row],[Job_Status]],$V$2:$X$4,3,FALSE)</f>
        <v>0</v>
      </c>
    </row>
    <row r="626" spans="1:14" x14ac:dyDescent="0.3">
      <c r="A626" t="s">
        <v>40</v>
      </c>
      <c r="B626" t="s">
        <v>23</v>
      </c>
      <c r="C626" s="5">
        <v>1.92</v>
      </c>
      <c r="D626" s="7">
        <v>29</v>
      </c>
      <c r="E626" s="6">
        <v>14.55</v>
      </c>
      <c r="F626">
        <v>91</v>
      </c>
      <c r="G626" s="3">
        <v>45007.659722222219</v>
      </c>
      <c r="H626" s="3">
        <v>45007.679861111108</v>
      </c>
      <c r="I626" s="3">
        <v>45007.661111111112</v>
      </c>
      <c r="J626" s="3">
        <v>45007.681250000001</v>
      </c>
      <c r="K626" t="s">
        <v>16</v>
      </c>
      <c r="L626" t="s">
        <v>17</v>
      </c>
      <c r="M626" t="str">
        <f>VLOOKUP(Table1[[#This Row],[Job_Status]],$V$2:$W$4,2,FALSE)</f>
        <v>Good</v>
      </c>
      <c r="N626" s="7">
        <f>VLOOKUP(Table1[[#This Row],[Job_Status]],$V$2:$X$4,3,FALSE)</f>
        <v>0</v>
      </c>
    </row>
    <row r="627" spans="1:14" x14ac:dyDescent="0.3">
      <c r="A627" t="s">
        <v>14</v>
      </c>
      <c r="B627" t="s">
        <v>36</v>
      </c>
      <c r="C627" s="5">
        <v>3.36</v>
      </c>
      <c r="D627" s="7">
        <v>70</v>
      </c>
      <c r="E627" s="6">
        <v>11.67</v>
      </c>
      <c r="F627">
        <v>94</v>
      </c>
      <c r="G627" s="3">
        <v>45007.666666666664</v>
      </c>
      <c r="H627" s="3">
        <v>45007.715277777781</v>
      </c>
      <c r="I627" s="3">
        <v>45007.6875</v>
      </c>
      <c r="J627" s="3">
        <v>45007.736111111109</v>
      </c>
      <c r="K627" t="s">
        <v>19</v>
      </c>
      <c r="L627" t="s">
        <v>20</v>
      </c>
      <c r="M627" t="str">
        <f>VLOOKUP(Table1[[#This Row],[Job_Status]],$V$2:$W$4,2,FALSE)</f>
        <v>Good</v>
      </c>
      <c r="N627" s="7">
        <f>VLOOKUP(Table1[[#This Row],[Job_Status]],$V$2:$X$4,3,FALSE)</f>
        <v>0</v>
      </c>
    </row>
    <row r="628" spans="1:14" x14ac:dyDescent="0.3">
      <c r="A628" t="s">
        <v>34</v>
      </c>
      <c r="B628" t="s">
        <v>36</v>
      </c>
      <c r="C628" s="5">
        <v>3.13</v>
      </c>
      <c r="D628" s="7">
        <v>52</v>
      </c>
      <c r="E628" s="6">
        <v>2.68</v>
      </c>
      <c r="F628">
        <v>82</v>
      </c>
      <c r="G628" s="3">
        <v>45007.673611111109</v>
      </c>
      <c r="H628" s="3">
        <v>45007.709722222222</v>
      </c>
      <c r="I628" s="3">
        <v>45007.671527777777</v>
      </c>
      <c r="J628" s="3">
        <v>45007.707638888889</v>
      </c>
      <c r="K628" t="s">
        <v>16</v>
      </c>
      <c r="L628" t="s">
        <v>20</v>
      </c>
      <c r="M628" t="str">
        <f>VLOOKUP(Table1[[#This Row],[Job_Status]],$V$2:$W$4,2,FALSE)</f>
        <v>Good</v>
      </c>
      <c r="N628" s="7">
        <f>VLOOKUP(Table1[[#This Row],[Job_Status]],$V$2:$X$4,3,FALSE)</f>
        <v>0</v>
      </c>
    </row>
    <row r="629" spans="1:14" x14ac:dyDescent="0.3">
      <c r="A629" t="s">
        <v>14</v>
      </c>
      <c r="B629" t="s">
        <v>15</v>
      </c>
      <c r="C629" s="5">
        <v>3.22</v>
      </c>
      <c r="D629" s="7">
        <v>72</v>
      </c>
      <c r="E629" s="6">
        <v>3.4</v>
      </c>
      <c r="F629">
        <v>85</v>
      </c>
      <c r="G629" s="3">
        <v>45007.680555555555</v>
      </c>
      <c r="H629" s="3">
        <v>45007.730555555558</v>
      </c>
      <c r="I629" s="3">
        <v>45007.678472222222</v>
      </c>
      <c r="J629" s="3">
        <v>45007.728472222225</v>
      </c>
      <c r="K629" t="s">
        <v>16</v>
      </c>
      <c r="L629" t="s">
        <v>20</v>
      </c>
      <c r="M629" t="str">
        <f>VLOOKUP(Table1[[#This Row],[Job_Status]],$V$2:$W$4,2,FALSE)</f>
        <v>Good</v>
      </c>
      <c r="N629" s="7">
        <f>VLOOKUP(Table1[[#This Row],[Job_Status]],$V$2:$X$4,3,FALSE)</f>
        <v>0</v>
      </c>
    </row>
    <row r="630" spans="1:14" x14ac:dyDescent="0.3">
      <c r="A630" t="s">
        <v>30</v>
      </c>
      <c r="B630" t="s">
        <v>36</v>
      </c>
      <c r="C630" s="5">
        <v>1.5</v>
      </c>
      <c r="D630" s="7">
        <v>119</v>
      </c>
      <c r="E630" s="6">
        <v>6.85</v>
      </c>
      <c r="F630">
        <v>84</v>
      </c>
      <c r="G630" s="3">
        <v>45007.6875</v>
      </c>
      <c r="H630" s="3">
        <v>45007.770138888889</v>
      </c>
      <c r="I630" s="3">
        <v>45007.68472222222</v>
      </c>
      <c r="J630" s="3">
        <v>45007.767361111109</v>
      </c>
      <c r="K630" t="s">
        <v>16</v>
      </c>
      <c r="L630" t="s">
        <v>20</v>
      </c>
      <c r="M630" t="str">
        <f>VLOOKUP(Table1[[#This Row],[Job_Status]],$V$2:$W$4,2,FALSE)</f>
        <v>Good</v>
      </c>
      <c r="N630" s="7">
        <f>VLOOKUP(Table1[[#This Row],[Job_Status]],$V$2:$X$4,3,FALSE)</f>
        <v>0</v>
      </c>
    </row>
    <row r="631" spans="1:14" x14ac:dyDescent="0.3">
      <c r="A631" t="s">
        <v>40</v>
      </c>
      <c r="B631" t="s">
        <v>32</v>
      </c>
      <c r="C631" s="5">
        <v>1.3</v>
      </c>
      <c r="D631" s="7">
        <v>112</v>
      </c>
      <c r="E631" s="6">
        <v>2.94</v>
      </c>
      <c r="F631">
        <v>93</v>
      </c>
      <c r="G631" s="3">
        <v>45007.694444444445</v>
      </c>
      <c r="H631" s="3">
        <v>45007.772222222222</v>
      </c>
      <c r="I631" s="3">
        <v>45007.712500000001</v>
      </c>
      <c r="J631" s="3">
        <v>45007.790277777778</v>
      </c>
      <c r="K631" t="s">
        <v>19</v>
      </c>
      <c r="L631" t="s">
        <v>20</v>
      </c>
      <c r="M631" t="str">
        <f>VLOOKUP(Table1[[#This Row],[Job_Status]],$V$2:$W$4,2,FALSE)</f>
        <v>Good</v>
      </c>
      <c r="N631" s="7">
        <f>VLOOKUP(Table1[[#This Row],[Job_Status]],$V$2:$X$4,3,FALSE)</f>
        <v>0</v>
      </c>
    </row>
    <row r="632" spans="1:14" x14ac:dyDescent="0.3">
      <c r="A632" t="s">
        <v>34</v>
      </c>
      <c r="B632" t="s">
        <v>23</v>
      </c>
      <c r="C632" s="5">
        <v>4.0199999999999996</v>
      </c>
      <c r="D632" s="7">
        <v>39</v>
      </c>
      <c r="E632" s="6">
        <v>6.18</v>
      </c>
      <c r="F632">
        <v>93</v>
      </c>
      <c r="G632" s="3">
        <v>45007.701388888891</v>
      </c>
      <c r="H632" s="3">
        <v>45007.728472222225</v>
      </c>
      <c r="I632" s="3">
        <v>45007.717361111114</v>
      </c>
      <c r="J632" s="3">
        <v>45007.744444444441</v>
      </c>
      <c r="K632" t="s">
        <v>19</v>
      </c>
      <c r="L632" t="s">
        <v>20</v>
      </c>
      <c r="M632" t="str">
        <f>VLOOKUP(Table1[[#This Row],[Job_Status]],$V$2:$W$4,2,FALSE)</f>
        <v>Good</v>
      </c>
      <c r="N632" s="7">
        <f>VLOOKUP(Table1[[#This Row],[Job_Status]],$V$2:$X$4,3,FALSE)</f>
        <v>0</v>
      </c>
    </row>
    <row r="633" spans="1:14" x14ac:dyDescent="0.3">
      <c r="A633" t="s">
        <v>14</v>
      </c>
      <c r="B633" t="s">
        <v>27</v>
      </c>
      <c r="C633" s="5">
        <v>4.54</v>
      </c>
      <c r="D633" s="7">
        <v>105</v>
      </c>
      <c r="E633" s="6">
        <v>2.63</v>
      </c>
      <c r="F633">
        <v>97</v>
      </c>
      <c r="G633" s="3">
        <v>45007.708333333336</v>
      </c>
      <c r="H633" s="3">
        <v>45007.78125</v>
      </c>
      <c r="I633" s="3">
        <v>45007.707638888889</v>
      </c>
      <c r="J633" s="3">
        <v>45007.780555555553</v>
      </c>
      <c r="K633" t="s">
        <v>16</v>
      </c>
      <c r="L633" t="s">
        <v>20</v>
      </c>
      <c r="M633" t="str">
        <f>VLOOKUP(Table1[[#This Row],[Job_Status]],$V$2:$W$4,2,FALSE)</f>
        <v>Good</v>
      </c>
      <c r="N633" s="7">
        <f>VLOOKUP(Table1[[#This Row],[Job_Status]],$V$2:$X$4,3,FALSE)</f>
        <v>0</v>
      </c>
    </row>
    <row r="634" spans="1:14" x14ac:dyDescent="0.3">
      <c r="A634" t="s">
        <v>14</v>
      </c>
      <c r="B634" t="s">
        <v>15</v>
      </c>
      <c r="C634" s="5">
        <v>2.1</v>
      </c>
      <c r="D634" s="7">
        <v>51</v>
      </c>
      <c r="E634" s="6">
        <v>13.64</v>
      </c>
      <c r="F634">
        <v>85</v>
      </c>
      <c r="G634" s="3">
        <v>45007.715277777781</v>
      </c>
      <c r="H634" s="3">
        <v>45007.750694444447</v>
      </c>
      <c r="I634" s="3">
        <v>45007.714583333334</v>
      </c>
      <c r="J634" s="3">
        <v>45007.75</v>
      </c>
      <c r="K634" t="s">
        <v>16</v>
      </c>
      <c r="L634" t="s">
        <v>20</v>
      </c>
      <c r="M634" t="str">
        <f>VLOOKUP(Table1[[#This Row],[Job_Status]],$V$2:$W$4,2,FALSE)</f>
        <v>Good</v>
      </c>
      <c r="N634" s="7">
        <f>VLOOKUP(Table1[[#This Row],[Job_Status]],$V$2:$X$4,3,FALSE)</f>
        <v>0</v>
      </c>
    </row>
    <row r="635" spans="1:14" x14ac:dyDescent="0.3">
      <c r="A635" t="s">
        <v>40</v>
      </c>
      <c r="B635" t="s">
        <v>32</v>
      </c>
      <c r="C635" s="5">
        <v>4.42</v>
      </c>
      <c r="D635" s="7">
        <v>98</v>
      </c>
      <c r="E635" s="6">
        <v>14.08</v>
      </c>
      <c r="F635">
        <v>97</v>
      </c>
      <c r="G635" s="3">
        <v>45007.722222222219</v>
      </c>
      <c r="H635" s="3">
        <v>45007.790277777778</v>
      </c>
      <c r="I635" s="3">
        <v>45007.740277777775</v>
      </c>
      <c r="J635" s="3">
        <v>45007.808333333334</v>
      </c>
      <c r="K635" t="s">
        <v>19</v>
      </c>
      <c r="L635" t="s">
        <v>20</v>
      </c>
      <c r="M635" t="str">
        <f>VLOOKUP(Table1[[#This Row],[Job_Status]],$V$2:$W$4,2,FALSE)</f>
        <v>Good</v>
      </c>
      <c r="N635" s="7">
        <f>VLOOKUP(Table1[[#This Row],[Job_Status]],$V$2:$X$4,3,FALSE)</f>
        <v>0</v>
      </c>
    </row>
    <row r="636" spans="1:14" x14ac:dyDescent="0.3">
      <c r="A636" t="s">
        <v>40</v>
      </c>
      <c r="B636" t="s">
        <v>36</v>
      </c>
      <c r="C636" s="5">
        <v>3.26</v>
      </c>
      <c r="D636" s="7">
        <v>87</v>
      </c>
      <c r="E636" s="6">
        <v>9.49</v>
      </c>
      <c r="F636">
        <v>80</v>
      </c>
      <c r="G636" s="3">
        <v>45007.729166666664</v>
      </c>
      <c r="H636" s="3">
        <v>45007.789583333331</v>
      </c>
      <c r="I636" s="3">
        <v>45007.727083333331</v>
      </c>
      <c r="J636" s="3">
        <v>45007.787499999999</v>
      </c>
      <c r="K636" t="s">
        <v>16</v>
      </c>
      <c r="L636" t="s">
        <v>20</v>
      </c>
      <c r="M636" t="str">
        <f>VLOOKUP(Table1[[#This Row],[Job_Status]],$V$2:$W$4,2,FALSE)</f>
        <v>Good</v>
      </c>
      <c r="N636" s="7">
        <f>VLOOKUP(Table1[[#This Row],[Job_Status]],$V$2:$X$4,3,FALSE)</f>
        <v>0</v>
      </c>
    </row>
    <row r="637" spans="1:14" x14ac:dyDescent="0.3">
      <c r="A637" t="s">
        <v>22</v>
      </c>
      <c r="B637" t="s">
        <v>32</v>
      </c>
      <c r="C637" s="5">
        <v>1.54</v>
      </c>
      <c r="D637" s="7">
        <v>103</v>
      </c>
      <c r="E637" s="6">
        <v>7.9</v>
      </c>
      <c r="F637">
        <v>80</v>
      </c>
      <c r="G637" s="3">
        <v>45007.736111111109</v>
      </c>
      <c r="H637" s="3">
        <v>45007.807638888888</v>
      </c>
      <c r="K637" t="s">
        <v>24</v>
      </c>
      <c r="L637" t="s">
        <v>20</v>
      </c>
      <c r="M637" t="str">
        <f>VLOOKUP(Table1[[#This Row],[Job_Status]],$V$2:$W$4,2,FALSE)</f>
        <v>Defect</v>
      </c>
      <c r="N637" s="7">
        <f>VLOOKUP(Table1[[#This Row],[Job_Status]],$V$2:$X$4,3,FALSE)</f>
        <v>100</v>
      </c>
    </row>
    <row r="638" spans="1:14" x14ac:dyDescent="0.3">
      <c r="A638" t="s">
        <v>34</v>
      </c>
      <c r="B638" t="s">
        <v>32</v>
      </c>
      <c r="C638" s="5">
        <v>1.45</v>
      </c>
      <c r="D638" s="7">
        <v>73</v>
      </c>
      <c r="E638" s="6">
        <v>4.3600000000000003</v>
      </c>
      <c r="F638">
        <v>80</v>
      </c>
      <c r="G638" s="3">
        <v>45007.743055555555</v>
      </c>
      <c r="H638" s="3">
        <v>45007.793749999997</v>
      </c>
      <c r="I638" s="3">
        <v>45007.758333333331</v>
      </c>
      <c r="J638" s="3">
        <v>45007.809027777781</v>
      </c>
      <c r="K638" t="s">
        <v>19</v>
      </c>
      <c r="L638" t="s">
        <v>20</v>
      </c>
      <c r="M638" t="str">
        <f>VLOOKUP(Table1[[#This Row],[Job_Status]],$V$2:$W$4,2,FALSE)</f>
        <v>Good</v>
      </c>
      <c r="N638" s="7">
        <f>VLOOKUP(Table1[[#This Row],[Job_Status]],$V$2:$X$4,3,FALSE)</f>
        <v>0</v>
      </c>
    </row>
    <row r="639" spans="1:14" x14ac:dyDescent="0.3">
      <c r="A639" t="s">
        <v>22</v>
      </c>
      <c r="B639" t="s">
        <v>15</v>
      </c>
      <c r="C639" s="5">
        <v>2.13</v>
      </c>
      <c r="D639" s="7">
        <v>85</v>
      </c>
      <c r="E639" s="6">
        <v>13.13</v>
      </c>
      <c r="F639">
        <v>89</v>
      </c>
      <c r="G639" s="3">
        <v>45007.75</v>
      </c>
      <c r="H639" s="3">
        <v>45007.809027777781</v>
      </c>
      <c r="K639" t="s">
        <v>24</v>
      </c>
      <c r="L639" t="s">
        <v>20</v>
      </c>
      <c r="M639" t="str">
        <f>VLOOKUP(Table1[[#This Row],[Job_Status]],$V$2:$W$4,2,FALSE)</f>
        <v>Defect</v>
      </c>
      <c r="N639" s="7">
        <f>VLOOKUP(Table1[[#This Row],[Job_Status]],$V$2:$X$4,3,FALSE)</f>
        <v>100</v>
      </c>
    </row>
    <row r="640" spans="1:14" x14ac:dyDescent="0.3">
      <c r="A640" t="s">
        <v>34</v>
      </c>
      <c r="B640" t="s">
        <v>36</v>
      </c>
      <c r="C640" s="5">
        <v>3.8</v>
      </c>
      <c r="D640" s="7">
        <v>93</v>
      </c>
      <c r="E640" s="6">
        <v>4.0599999999999996</v>
      </c>
      <c r="F640">
        <v>88</v>
      </c>
      <c r="G640" s="3">
        <v>45007.756944444445</v>
      </c>
      <c r="H640" s="3">
        <v>45007.821527777778</v>
      </c>
      <c r="I640" s="3">
        <v>45007.754166666666</v>
      </c>
      <c r="J640" s="3">
        <v>45007.818749999999</v>
      </c>
      <c r="K640" t="s">
        <v>16</v>
      </c>
      <c r="L640" t="s">
        <v>20</v>
      </c>
      <c r="M640" t="str">
        <f>VLOOKUP(Table1[[#This Row],[Job_Status]],$V$2:$W$4,2,FALSE)</f>
        <v>Good</v>
      </c>
      <c r="N640" s="7">
        <f>VLOOKUP(Table1[[#This Row],[Job_Status]],$V$2:$X$4,3,FALSE)</f>
        <v>0</v>
      </c>
    </row>
    <row r="641" spans="1:14" x14ac:dyDescent="0.3">
      <c r="A641" t="s">
        <v>34</v>
      </c>
      <c r="B641" t="s">
        <v>15</v>
      </c>
      <c r="C641" s="5">
        <v>1.37</v>
      </c>
      <c r="D641" s="7">
        <v>102</v>
      </c>
      <c r="E641" s="6">
        <v>2.21</v>
      </c>
      <c r="F641">
        <v>82</v>
      </c>
      <c r="G641" s="3">
        <v>45007.763888888891</v>
      </c>
      <c r="H641" s="3">
        <v>45007.834722222222</v>
      </c>
      <c r="I641" s="3">
        <v>45007.780555555553</v>
      </c>
      <c r="J641" s="3">
        <v>45007.851388888892</v>
      </c>
      <c r="K641" t="s">
        <v>19</v>
      </c>
      <c r="L641" t="s">
        <v>20</v>
      </c>
      <c r="M641" t="str">
        <f>VLOOKUP(Table1[[#This Row],[Job_Status]],$V$2:$W$4,2,FALSE)</f>
        <v>Good</v>
      </c>
      <c r="N641" s="7">
        <f>VLOOKUP(Table1[[#This Row],[Job_Status]],$V$2:$X$4,3,FALSE)</f>
        <v>0</v>
      </c>
    </row>
    <row r="642" spans="1:14" x14ac:dyDescent="0.3">
      <c r="A642" t="s">
        <v>14</v>
      </c>
      <c r="B642" t="s">
        <v>27</v>
      </c>
      <c r="C642" s="5">
        <v>1.78</v>
      </c>
      <c r="D642" s="7">
        <v>36</v>
      </c>
      <c r="E642" s="6">
        <v>6.59</v>
      </c>
      <c r="F642">
        <v>86</v>
      </c>
      <c r="G642" s="3">
        <v>45007.770833333336</v>
      </c>
      <c r="H642" s="3">
        <v>45007.79583333333</v>
      </c>
      <c r="I642" s="3">
        <v>45007.773611111108</v>
      </c>
      <c r="J642" s="3">
        <v>45007.798611111109</v>
      </c>
      <c r="K642" t="s">
        <v>16</v>
      </c>
      <c r="L642" t="s">
        <v>28</v>
      </c>
      <c r="M642" t="str">
        <f>VLOOKUP(Table1[[#This Row],[Job_Status]],$V$2:$W$4,2,FALSE)</f>
        <v>Good</v>
      </c>
      <c r="N642" s="7">
        <f>VLOOKUP(Table1[[#This Row],[Job_Status]],$V$2:$X$4,3,FALSE)</f>
        <v>0</v>
      </c>
    </row>
    <row r="643" spans="1:14" x14ac:dyDescent="0.3">
      <c r="A643" t="s">
        <v>14</v>
      </c>
      <c r="B643" t="s">
        <v>15</v>
      </c>
      <c r="C643" s="5">
        <v>2.8</v>
      </c>
      <c r="D643" s="7">
        <v>113</v>
      </c>
      <c r="E643" s="6">
        <v>3.17</v>
      </c>
      <c r="F643">
        <v>85</v>
      </c>
      <c r="G643" s="3">
        <v>45007.777777777781</v>
      </c>
      <c r="H643" s="3">
        <v>45007.856249999997</v>
      </c>
      <c r="I643" s="3">
        <v>45007.798611111109</v>
      </c>
      <c r="J643" s="3">
        <v>45007.877083333333</v>
      </c>
      <c r="K643" t="s">
        <v>19</v>
      </c>
      <c r="L643" t="s">
        <v>20</v>
      </c>
      <c r="M643" t="str">
        <f>VLOOKUP(Table1[[#This Row],[Job_Status]],$V$2:$W$4,2,FALSE)</f>
        <v>Good</v>
      </c>
      <c r="N643" s="7">
        <f>VLOOKUP(Table1[[#This Row],[Job_Status]],$V$2:$X$4,3,FALSE)</f>
        <v>0</v>
      </c>
    </row>
    <row r="644" spans="1:14" x14ac:dyDescent="0.3">
      <c r="A644" t="s">
        <v>22</v>
      </c>
      <c r="B644" t="s">
        <v>27</v>
      </c>
      <c r="C644" s="5">
        <v>4.66</v>
      </c>
      <c r="D644" s="7">
        <v>43</v>
      </c>
      <c r="E644" s="6">
        <v>11.89</v>
      </c>
      <c r="F644">
        <v>90</v>
      </c>
      <c r="G644" s="3">
        <v>45007.784722222219</v>
      </c>
      <c r="H644" s="3">
        <v>45007.814583333333</v>
      </c>
      <c r="I644" s="3">
        <v>45007.801388888889</v>
      </c>
      <c r="J644" s="3">
        <v>45007.831250000003</v>
      </c>
      <c r="K644" t="s">
        <v>19</v>
      </c>
      <c r="L644" t="s">
        <v>20</v>
      </c>
      <c r="M644" t="str">
        <f>VLOOKUP(Table1[[#This Row],[Job_Status]],$V$2:$W$4,2,FALSE)</f>
        <v>Good</v>
      </c>
      <c r="N644" s="7">
        <f>VLOOKUP(Table1[[#This Row],[Job_Status]],$V$2:$X$4,3,FALSE)</f>
        <v>0</v>
      </c>
    </row>
    <row r="645" spans="1:14" x14ac:dyDescent="0.3">
      <c r="A645" t="s">
        <v>34</v>
      </c>
      <c r="B645" t="s">
        <v>15</v>
      </c>
      <c r="C645" s="5">
        <v>4.74</v>
      </c>
      <c r="D645" s="7">
        <v>61</v>
      </c>
      <c r="E645" s="6">
        <v>5.82</v>
      </c>
      <c r="F645">
        <v>91</v>
      </c>
      <c r="G645" s="3">
        <v>45007.791666666664</v>
      </c>
      <c r="H645" s="3">
        <v>45007.834027777775</v>
      </c>
      <c r="I645" s="3">
        <v>45007.811111111114</v>
      </c>
      <c r="J645" s="3">
        <v>45007.853472222225</v>
      </c>
      <c r="K645" t="s">
        <v>19</v>
      </c>
      <c r="L645" t="s">
        <v>20</v>
      </c>
      <c r="M645" t="str">
        <f>VLOOKUP(Table1[[#This Row],[Job_Status]],$V$2:$W$4,2,FALSE)</f>
        <v>Good</v>
      </c>
      <c r="N645" s="7">
        <f>VLOOKUP(Table1[[#This Row],[Job_Status]],$V$2:$X$4,3,FALSE)</f>
        <v>0</v>
      </c>
    </row>
    <row r="646" spans="1:14" x14ac:dyDescent="0.3">
      <c r="A646" t="s">
        <v>30</v>
      </c>
      <c r="B646" t="s">
        <v>36</v>
      </c>
      <c r="C646" s="5">
        <v>4.04</v>
      </c>
      <c r="D646" s="7">
        <v>87</v>
      </c>
      <c r="E646" s="6">
        <v>14.09</v>
      </c>
      <c r="F646">
        <v>89</v>
      </c>
      <c r="G646" s="3">
        <v>45007.798611111109</v>
      </c>
      <c r="H646" s="3">
        <v>45007.859027777777</v>
      </c>
      <c r="I646" s="3">
        <v>45007.801388888889</v>
      </c>
      <c r="J646" s="3">
        <v>45007.861805555556</v>
      </c>
      <c r="K646" t="s">
        <v>16</v>
      </c>
      <c r="L646" t="s">
        <v>17</v>
      </c>
      <c r="M646" t="str">
        <f>VLOOKUP(Table1[[#This Row],[Job_Status]],$V$2:$W$4,2,FALSE)</f>
        <v>Good</v>
      </c>
      <c r="N646" s="7">
        <f>VLOOKUP(Table1[[#This Row],[Job_Status]],$V$2:$X$4,3,FALSE)</f>
        <v>0</v>
      </c>
    </row>
    <row r="647" spans="1:14" x14ac:dyDescent="0.3">
      <c r="A647" t="s">
        <v>14</v>
      </c>
      <c r="B647" t="s">
        <v>32</v>
      </c>
      <c r="C647" s="5">
        <v>2.3199999999999998</v>
      </c>
      <c r="D647" s="7">
        <v>50</v>
      </c>
      <c r="E647" s="6">
        <v>8.42</v>
      </c>
      <c r="F647">
        <v>89</v>
      </c>
      <c r="G647" s="3">
        <v>45007.805555555555</v>
      </c>
      <c r="H647" s="3">
        <v>45007.840277777781</v>
      </c>
      <c r="I647" s="3">
        <v>45007.814583333333</v>
      </c>
      <c r="J647" s="3">
        <v>45007.849305555559</v>
      </c>
      <c r="K647" t="s">
        <v>19</v>
      </c>
      <c r="L647" t="s">
        <v>20</v>
      </c>
      <c r="M647" t="str">
        <f>VLOOKUP(Table1[[#This Row],[Job_Status]],$V$2:$W$4,2,FALSE)</f>
        <v>Good</v>
      </c>
      <c r="N647" s="7">
        <f>VLOOKUP(Table1[[#This Row],[Job_Status]],$V$2:$X$4,3,FALSE)</f>
        <v>0</v>
      </c>
    </row>
    <row r="648" spans="1:14" x14ac:dyDescent="0.3">
      <c r="A648" t="s">
        <v>30</v>
      </c>
      <c r="B648" t="s">
        <v>23</v>
      </c>
      <c r="C648" s="5">
        <v>3.69</v>
      </c>
      <c r="D648" s="7">
        <v>118</v>
      </c>
      <c r="E648" s="6">
        <v>4.63</v>
      </c>
      <c r="F648">
        <v>84</v>
      </c>
      <c r="G648" s="3">
        <v>45007.8125</v>
      </c>
      <c r="H648" s="3">
        <v>45007.894444444442</v>
      </c>
      <c r="K648" t="s">
        <v>24</v>
      </c>
      <c r="L648" t="s">
        <v>20</v>
      </c>
      <c r="M648" t="str">
        <f>VLOOKUP(Table1[[#This Row],[Job_Status]],$V$2:$W$4,2,FALSE)</f>
        <v>Defect</v>
      </c>
      <c r="N648" s="7">
        <f>VLOOKUP(Table1[[#This Row],[Job_Status]],$V$2:$X$4,3,FALSE)</f>
        <v>100</v>
      </c>
    </row>
    <row r="649" spans="1:14" x14ac:dyDescent="0.3">
      <c r="A649" t="s">
        <v>34</v>
      </c>
      <c r="B649" t="s">
        <v>15</v>
      </c>
      <c r="C649" s="5">
        <v>2.44</v>
      </c>
      <c r="D649" s="7">
        <v>97</v>
      </c>
      <c r="E649" s="6">
        <v>14.54</v>
      </c>
      <c r="F649">
        <v>98</v>
      </c>
      <c r="G649" s="3">
        <v>45007.819444444445</v>
      </c>
      <c r="H649" s="3">
        <v>45007.886805555558</v>
      </c>
      <c r="I649" s="3">
        <v>45007.818749999999</v>
      </c>
      <c r="J649" s="3">
        <v>45007.886111111111</v>
      </c>
      <c r="K649" t="s">
        <v>16</v>
      </c>
      <c r="L649" t="s">
        <v>20</v>
      </c>
      <c r="M649" t="str">
        <f>VLOOKUP(Table1[[#This Row],[Job_Status]],$V$2:$W$4,2,FALSE)</f>
        <v>Good</v>
      </c>
      <c r="N649" s="7">
        <f>VLOOKUP(Table1[[#This Row],[Job_Status]],$V$2:$X$4,3,FALSE)</f>
        <v>0</v>
      </c>
    </row>
    <row r="650" spans="1:14" x14ac:dyDescent="0.3">
      <c r="A650" t="s">
        <v>14</v>
      </c>
      <c r="B650" t="s">
        <v>23</v>
      </c>
      <c r="C650" s="5">
        <v>1.71</v>
      </c>
      <c r="D650" s="7">
        <v>56</v>
      </c>
      <c r="E650" s="6">
        <v>11</v>
      </c>
      <c r="F650">
        <v>90</v>
      </c>
      <c r="G650" s="3">
        <v>45007.826388888891</v>
      </c>
      <c r="H650" s="3">
        <v>45007.865277777775</v>
      </c>
      <c r="I650" s="3">
        <v>45007.828472222223</v>
      </c>
      <c r="J650" s="3">
        <v>45007.867361111108</v>
      </c>
      <c r="K650" t="s">
        <v>16</v>
      </c>
      <c r="L650" t="s">
        <v>17</v>
      </c>
      <c r="M650" t="str">
        <f>VLOOKUP(Table1[[#This Row],[Job_Status]],$V$2:$W$4,2,FALSE)</f>
        <v>Good</v>
      </c>
      <c r="N650" s="7">
        <f>VLOOKUP(Table1[[#This Row],[Job_Status]],$V$2:$X$4,3,FALSE)</f>
        <v>0</v>
      </c>
    </row>
    <row r="651" spans="1:14" x14ac:dyDescent="0.3">
      <c r="A651" t="s">
        <v>40</v>
      </c>
      <c r="B651" t="s">
        <v>23</v>
      </c>
      <c r="C651" s="5">
        <v>1.69</v>
      </c>
      <c r="D651" s="7">
        <v>57</v>
      </c>
      <c r="E651" s="6">
        <v>2.81</v>
      </c>
      <c r="F651">
        <v>96</v>
      </c>
      <c r="G651" s="3">
        <v>45007.833333333336</v>
      </c>
      <c r="H651" s="3">
        <v>45007.872916666667</v>
      </c>
      <c r="I651" s="3">
        <v>45007.847916666666</v>
      </c>
      <c r="J651" s="3">
        <v>45007.887499999997</v>
      </c>
      <c r="K651" t="s">
        <v>19</v>
      </c>
      <c r="L651" t="s">
        <v>20</v>
      </c>
      <c r="M651" t="str">
        <f>VLOOKUP(Table1[[#This Row],[Job_Status]],$V$2:$W$4,2,FALSE)</f>
        <v>Good</v>
      </c>
      <c r="N651" s="7">
        <f>VLOOKUP(Table1[[#This Row],[Job_Status]],$V$2:$X$4,3,FALSE)</f>
        <v>0</v>
      </c>
    </row>
    <row r="652" spans="1:14" x14ac:dyDescent="0.3">
      <c r="A652" t="s">
        <v>22</v>
      </c>
      <c r="B652" t="s">
        <v>36</v>
      </c>
      <c r="C652" s="5">
        <v>1.34</v>
      </c>
      <c r="D652" s="7">
        <v>100</v>
      </c>
      <c r="E652" s="6">
        <v>9.56</v>
      </c>
      <c r="F652">
        <v>85</v>
      </c>
      <c r="G652" s="3">
        <v>45007.840277777781</v>
      </c>
      <c r="H652" s="3">
        <v>45007.909722222219</v>
      </c>
      <c r="I652" s="3">
        <v>45007.842361111114</v>
      </c>
      <c r="J652" s="3">
        <v>45007.911805555559</v>
      </c>
      <c r="K652" t="s">
        <v>16</v>
      </c>
      <c r="L652" t="s">
        <v>17</v>
      </c>
      <c r="M652" t="str">
        <f>VLOOKUP(Table1[[#This Row],[Job_Status]],$V$2:$W$4,2,FALSE)</f>
        <v>Good</v>
      </c>
      <c r="N652" s="7">
        <f>VLOOKUP(Table1[[#This Row],[Job_Status]],$V$2:$X$4,3,FALSE)</f>
        <v>0</v>
      </c>
    </row>
    <row r="653" spans="1:14" x14ac:dyDescent="0.3">
      <c r="A653" t="s">
        <v>14</v>
      </c>
      <c r="B653" t="s">
        <v>36</v>
      </c>
      <c r="C653" s="5">
        <v>3.41</v>
      </c>
      <c r="D653" s="7">
        <v>37</v>
      </c>
      <c r="E653" s="6">
        <v>6.08</v>
      </c>
      <c r="F653">
        <v>84</v>
      </c>
      <c r="G653" s="3">
        <v>45007.847222222219</v>
      </c>
      <c r="H653" s="3">
        <v>45007.872916666667</v>
      </c>
      <c r="I653" s="3">
        <v>45007.86041666667</v>
      </c>
      <c r="J653" s="3">
        <v>45007.886111111111</v>
      </c>
      <c r="K653" t="s">
        <v>19</v>
      </c>
      <c r="L653" t="s">
        <v>20</v>
      </c>
      <c r="M653" t="str">
        <f>VLOOKUP(Table1[[#This Row],[Job_Status]],$V$2:$W$4,2,FALSE)</f>
        <v>Good</v>
      </c>
      <c r="N653" s="7">
        <f>VLOOKUP(Table1[[#This Row],[Job_Status]],$V$2:$X$4,3,FALSE)</f>
        <v>0</v>
      </c>
    </row>
    <row r="654" spans="1:14" x14ac:dyDescent="0.3">
      <c r="A654" t="s">
        <v>14</v>
      </c>
      <c r="B654" t="s">
        <v>23</v>
      </c>
      <c r="C654" s="5">
        <v>2.29</v>
      </c>
      <c r="D654" s="7">
        <v>25</v>
      </c>
      <c r="E654" s="6">
        <v>3.47</v>
      </c>
      <c r="F654">
        <v>85</v>
      </c>
      <c r="G654" s="3">
        <v>45007.854166666664</v>
      </c>
      <c r="H654" s="3">
        <v>45007.871527777781</v>
      </c>
      <c r="I654" s="3">
        <v>45007.857638888891</v>
      </c>
      <c r="J654" s="3">
        <v>45007.875</v>
      </c>
      <c r="K654" t="s">
        <v>16</v>
      </c>
      <c r="L654" t="s">
        <v>28</v>
      </c>
      <c r="M654" t="str">
        <f>VLOOKUP(Table1[[#This Row],[Job_Status]],$V$2:$W$4,2,FALSE)</f>
        <v>Good</v>
      </c>
      <c r="N654" s="7">
        <f>VLOOKUP(Table1[[#This Row],[Job_Status]],$V$2:$X$4,3,FALSE)</f>
        <v>0</v>
      </c>
    </row>
    <row r="655" spans="1:14" x14ac:dyDescent="0.3">
      <c r="A655" t="s">
        <v>22</v>
      </c>
      <c r="B655" t="s">
        <v>36</v>
      </c>
      <c r="C655" s="5">
        <v>1.59</v>
      </c>
      <c r="D655" s="7">
        <v>21</v>
      </c>
      <c r="E655" s="6">
        <v>12.56</v>
      </c>
      <c r="F655">
        <v>81</v>
      </c>
      <c r="G655" s="3">
        <v>45007.861111111109</v>
      </c>
      <c r="H655" s="3">
        <v>45007.875694444447</v>
      </c>
      <c r="I655" s="3">
        <v>45007.880555555559</v>
      </c>
      <c r="J655" s="3">
        <v>45007.895138888889</v>
      </c>
      <c r="K655" t="s">
        <v>19</v>
      </c>
      <c r="L655" t="s">
        <v>20</v>
      </c>
      <c r="M655" t="str">
        <f>VLOOKUP(Table1[[#This Row],[Job_Status]],$V$2:$W$4,2,FALSE)</f>
        <v>Good</v>
      </c>
      <c r="N655" s="7">
        <f>VLOOKUP(Table1[[#This Row],[Job_Status]],$V$2:$X$4,3,FALSE)</f>
        <v>0</v>
      </c>
    </row>
    <row r="656" spans="1:14" x14ac:dyDescent="0.3">
      <c r="A656" t="s">
        <v>30</v>
      </c>
      <c r="B656" t="s">
        <v>36</v>
      </c>
      <c r="C656" s="5">
        <v>2.0299999999999998</v>
      </c>
      <c r="D656" s="7">
        <v>59</v>
      </c>
      <c r="E656" s="6">
        <v>3.42</v>
      </c>
      <c r="F656">
        <v>93</v>
      </c>
      <c r="G656" s="3">
        <v>45007.868055555555</v>
      </c>
      <c r="H656" s="3">
        <v>45007.90902777778</v>
      </c>
      <c r="I656" s="3">
        <v>45007.87777777778</v>
      </c>
      <c r="J656" s="3">
        <v>45007.918749999997</v>
      </c>
      <c r="K656" t="s">
        <v>19</v>
      </c>
      <c r="L656" t="s">
        <v>20</v>
      </c>
      <c r="M656" t="str">
        <f>VLOOKUP(Table1[[#This Row],[Job_Status]],$V$2:$W$4,2,FALSE)</f>
        <v>Good</v>
      </c>
      <c r="N656" s="7">
        <f>VLOOKUP(Table1[[#This Row],[Job_Status]],$V$2:$X$4,3,FALSE)</f>
        <v>0</v>
      </c>
    </row>
    <row r="657" spans="1:14" x14ac:dyDescent="0.3">
      <c r="A657" t="s">
        <v>22</v>
      </c>
      <c r="B657" t="s">
        <v>32</v>
      </c>
      <c r="C657" s="5">
        <v>4.76</v>
      </c>
      <c r="D657" s="7">
        <v>46</v>
      </c>
      <c r="E657" s="6">
        <v>4.6100000000000003</v>
      </c>
      <c r="F657">
        <v>89</v>
      </c>
      <c r="G657" s="3">
        <v>45007.875</v>
      </c>
      <c r="H657" s="3">
        <v>45007.906944444447</v>
      </c>
      <c r="I657" s="3">
        <v>45007.874305555553</v>
      </c>
      <c r="J657" s="3">
        <v>45007.90625</v>
      </c>
      <c r="K657" t="s">
        <v>16</v>
      </c>
      <c r="L657" t="s">
        <v>20</v>
      </c>
      <c r="M657" t="str">
        <f>VLOOKUP(Table1[[#This Row],[Job_Status]],$V$2:$W$4,2,FALSE)</f>
        <v>Good</v>
      </c>
      <c r="N657" s="7">
        <f>VLOOKUP(Table1[[#This Row],[Job_Status]],$V$2:$X$4,3,FALSE)</f>
        <v>0</v>
      </c>
    </row>
    <row r="658" spans="1:14" x14ac:dyDescent="0.3">
      <c r="A658" t="s">
        <v>30</v>
      </c>
      <c r="B658" t="s">
        <v>15</v>
      </c>
      <c r="C658" s="5">
        <v>3.68</v>
      </c>
      <c r="D658" s="7">
        <v>23</v>
      </c>
      <c r="E658" s="6">
        <v>8.99</v>
      </c>
      <c r="F658">
        <v>87</v>
      </c>
      <c r="G658" s="3">
        <v>45007.881944444445</v>
      </c>
      <c r="H658" s="3">
        <v>45007.897916666669</v>
      </c>
      <c r="I658" s="3">
        <v>45007.881944444445</v>
      </c>
      <c r="J658" s="3">
        <v>45007.897916666669</v>
      </c>
      <c r="K658" t="s">
        <v>16</v>
      </c>
      <c r="L658" t="s">
        <v>28</v>
      </c>
      <c r="M658" t="str">
        <f>VLOOKUP(Table1[[#This Row],[Job_Status]],$V$2:$W$4,2,FALSE)</f>
        <v>Good</v>
      </c>
      <c r="N658" s="7">
        <f>VLOOKUP(Table1[[#This Row],[Job_Status]],$V$2:$X$4,3,FALSE)</f>
        <v>0</v>
      </c>
    </row>
    <row r="659" spans="1:14" x14ac:dyDescent="0.3">
      <c r="A659" t="s">
        <v>40</v>
      </c>
      <c r="B659" t="s">
        <v>15</v>
      </c>
      <c r="C659" s="5">
        <v>3.91</v>
      </c>
      <c r="D659" s="7">
        <v>101</v>
      </c>
      <c r="E659" s="6">
        <v>10.7</v>
      </c>
      <c r="F659">
        <v>95</v>
      </c>
      <c r="G659" s="3">
        <v>45007.888888888891</v>
      </c>
      <c r="H659" s="3">
        <v>45007.959027777775</v>
      </c>
      <c r="I659" s="3">
        <v>45007.888888888891</v>
      </c>
      <c r="J659" s="3">
        <v>45007.959027777775</v>
      </c>
      <c r="K659" t="s">
        <v>16</v>
      </c>
      <c r="L659" t="s">
        <v>17</v>
      </c>
      <c r="M659" t="str">
        <f>VLOOKUP(Table1[[#This Row],[Job_Status]],$V$2:$W$4,2,FALSE)</f>
        <v>Good</v>
      </c>
      <c r="N659" s="7">
        <f>VLOOKUP(Table1[[#This Row],[Job_Status]],$V$2:$X$4,3,FALSE)</f>
        <v>0</v>
      </c>
    </row>
    <row r="660" spans="1:14" x14ac:dyDescent="0.3">
      <c r="A660" t="s">
        <v>30</v>
      </c>
      <c r="B660" t="s">
        <v>36</v>
      </c>
      <c r="C660" s="5">
        <v>4.08</v>
      </c>
      <c r="D660" s="7">
        <v>60</v>
      </c>
      <c r="E660" s="6">
        <v>2.94</v>
      </c>
      <c r="F660">
        <v>90</v>
      </c>
      <c r="G660" s="3">
        <v>45007.895833333336</v>
      </c>
      <c r="H660" s="3">
        <v>45007.9375</v>
      </c>
      <c r="I660" s="3">
        <v>45007.914583333331</v>
      </c>
      <c r="J660" s="3">
        <v>45007.956250000003</v>
      </c>
      <c r="K660" t="s">
        <v>19</v>
      </c>
      <c r="L660" t="s">
        <v>20</v>
      </c>
      <c r="M660" t="str">
        <f>VLOOKUP(Table1[[#This Row],[Job_Status]],$V$2:$W$4,2,FALSE)</f>
        <v>Good</v>
      </c>
      <c r="N660" s="7">
        <f>VLOOKUP(Table1[[#This Row],[Job_Status]],$V$2:$X$4,3,FALSE)</f>
        <v>0</v>
      </c>
    </row>
    <row r="661" spans="1:14" x14ac:dyDescent="0.3">
      <c r="A661" t="s">
        <v>40</v>
      </c>
      <c r="B661" t="s">
        <v>32</v>
      </c>
      <c r="C661" s="5">
        <v>1.18</v>
      </c>
      <c r="D661" s="7">
        <v>61</v>
      </c>
      <c r="E661" s="6">
        <v>14.09</v>
      </c>
      <c r="F661">
        <v>87</v>
      </c>
      <c r="G661" s="3">
        <v>45007.902777777781</v>
      </c>
      <c r="H661" s="3">
        <v>45007.945138888892</v>
      </c>
      <c r="I661" s="3">
        <v>45007.909722222219</v>
      </c>
      <c r="J661" s="3">
        <v>45007.95208333333</v>
      </c>
      <c r="K661" t="s">
        <v>19</v>
      </c>
      <c r="L661" t="s">
        <v>20</v>
      </c>
      <c r="M661" t="str">
        <f>VLOOKUP(Table1[[#This Row],[Job_Status]],$V$2:$W$4,2,FALSE)</f>
        <v>Good</v>
      </c>
      <c r="N661" s="7">
        <f>VLOOKUP(Table1[[#This Row],[Job_Status]],$V$2:$X$4,3,FALSE)</f>
        <v>0</v>
      </c>
    </row>
    <row r="662" spans="1:14" x14ac:dyDescent="0.3">
      <c r="A662" t="s">
        <v>14</v>
      </c>
      <c r="B662" t="s">
        <v>32</v>
      </c>
      <c r="C662" s="5">
        <v>4.59</v>
      </c>
      <c r="D662" s="7">
        <v>120</v>
      </c>
      <c r="E662" s="6">
        <v>3.14</v>
      </c>
      <c r="F662">
        <v>93</v>
      </c>
      <c r="G662" s="3">
        <v>45007.909722222219</v>
      </c>
      <c r="H662" s="3">
        <v>45007.993055555555</v>
      </c>
      <c r="I662" s="3">
        <v>45007.930555555555</v>
      </c>
      <c r="J662" s="3">
        <v>45008.013888888891</v>
      </c>
      <c r="K662" t="s">
        <v>19</v>
      </c>
      <c r="L662" t="s">
        <v>20</v>
      </c>
      <c r="M662" t="str">
        <f>VLOOKUP(Table1[[#This Row],[Job_Status]],$V$2:$W$4,2,FALSE)</f>
        <v>Good</v>
      </c>
      <c r="N662" s="7">
        <f>VLOOKUP(Table1[[#This Row],[Job_Status]],$V$2:$X$4,3,FALSE)</f>
        <v>0</v>
      </c>
    </row>
    <row r="663" spans="1:14" x14ac:dyDescent="0.3">
      <c r="A663" t="s">
        <v>22</v>
      </c>
      <c r="B663" t="s">
        <v>27</v>
      </c>
      <c r="C663" s="5">
        <v>3.82</v>
      </c>
      <c r="D663" s="7">
        <v>79</v>
      </c>
      <c r="E663" s="6">
        <v>13.23</v>
      </c>
      <c r="F663">
        <v>96</v>
      </c>
      <c r="G663" s="3">
        <v>45007.916666666664</v>
      </c>
      <c r="H663" s="3">
        <v>45007.97152777778</v>
      </c>
      <c r="I663" s="3">
        <v>45007.914583333331</v>
      </c>
      <c r="J663" s="3">
        <v>45007.969444444447</v>
      </c>
      <c r="K663" t="s">
        <v>16</v>
      </c>
      <c r="L663" t="s">
        <v>20</v>
      </c>
      <c r="M663" t="str">
        <f>VLOOKUP(Table1[[#This Row],[Job_Status]],$V$2:$W$4,2,FALSE)</f>
        <v>Good</v>
      </c>
      <c r="N663" s="7">
        <f>VLOOKUP(Table1[[#This Row],[Job_Status]],$V$2:$X$4,3,FALSE)</f>
        <v>0</v>
      </c>
    </row>
    <row r="664" spans="1:14" x14ac:dyDescent="0.3">
      <c r="A664" t="s">
        <v>40</v>
      </c>
      <c r="B664" t="s">
        <v>32</v>
      </c>
      <c r="C664" s="5">
        <v>1.73</v>
      </c>
      <c r="D664" s="7">
        <v>30</v>
      </c>
      <c r="E664" s="6">
        <v>4.05</v>
      </c>
      <c r="F664">
        <v>93</v>
      </c>
      <c r="G664" s="3">
        <v>45007.923611111109</v>
      </c>
      <c r="H664" s="3">
        <v>45007.944444444445</v>
      </c>
      <c r="I664" s="3">
        <v>45007.938888888886</v>
      </c>
      <c r="J664" s="3">
        <v>45007.959722222222</v>
      </c>
      <c r="K664" t="s">
        <v>19</v>
      </c>
      <c r="L664" t="s">
        <v>20</v>
      </c>
      <c r="M664" t="str">
        <f>VLOOKUP(Table1[[#This Row],[Job_Status]],$V$2:$W$4,2,FALSE)</f>
        <v>Good</v>
      </c>
      <c r="N664" s="7">
        <f>VLOOKUP(Table1[[#This Row],[Job_Status]],$V$2:$X$4,3,FALSE)</f>
        <v>0</v>
      </c>
    </row>
    <row r="665" spans="1:14" x14ac:dyDescent="0.3">
      <c r="A665" t="s">
        <v>40</v>
      </c>
      <c r="B665" t="s">
        <v>27</v>
      </c>
      <c r="C665" s="5">
        <v>1.83</v>
      </c>
      <c r="D665" s="7">
        <v>112</v>
      </c>
      <c r="E665" s="6">
        <v>9.51</v>
      </c>
      <c r="F665">
        <v>80</v>
      </c>
      <c r="G665" s="3">
        <v>45007.930555555555</v>
      </c>
      <c r="H665" s="3">
        <v>45008.008333333331</v>
      </c>
      <c r="I665" s="3">
        <v>45007.94027777778</v>
      </c>
      <c r="J665" s="3">
        <v>45008.018055555556</v>
      </c>
      <c r="K665" t="s">
        <v>19</v>
      </c>
      <c r="L665" t="s">
        <v>20</v>
      </c>
      <c r="M665" t="str">
        <f>VLOOKUP(Table1[[#This Row],[Job_Status]],$V$2:$W$4,2,FALSE)</f>
        <v>Good</v>
      </c>
      <c r="N665" s="7">
        <f>VLOOKUP(Table1[[#This Row],[Job_Status]],$V$2:$X$4,3,FALSE)</f>
        <v>0</v>
      </c>
    </row>
    <row r="666" spans="1:14" x14ac:dyDescent="0.3">
      <c r="A666" t="s">
        <v>34</v>
      </c>
      <c r="B666" t="s">
        <v>23</v>
      </c>
      <c r="C666" s="5">
        <v>4.8600000000000003</v>
      </c>
      <c r="D666" s="7">
        <v>97</v>
      </c>
      <c r="E666" s="6">
        <v>2.25</v>
      </c>
      <c r="F666">
        <v>86</v>
      </c>
      <c r="G666" s="3">
        <v>45007.9375</v>
      </c>
      <c r="H666" s="3">
        <v>45008.004861111112</v>
      </c>
      <c r="I666" s="3">
        <v>45007.938194444447</v>
      </c>
      <c r="J666" s="3">
        <v>45008.005555555559</v>
      </c>
      <c r="K666" t="s">
        <v>16</v>
      </c>
      <c r="L666" t="s">
        <v>43</v>
      </c>
      <c r="M666" t="str">
        <f>VLOOKUP(Table1[[#This Row],[Job_Status]],$V$2:$W$4,2,FALSE)</f>
        <v>Good</v>
      </c>
      <c r="N666" s="7">
        <f>VLOOKUP(Table1[[#This Row],[Job_Status]],$V$2:$X$4,3,FALSE)</f>
        <v>0</v>
      </c>
    </row>
    <row r="667" spans="1:14" x14ac:dyDescent="0.3">
      <c r="A667" t="s">
        <v>30</v>
      </c>
      <c r="B667" t="s">
        <v>27</v>
      </c>
      <c r="C667" s="5">
        <v>1.1200000000000001</v>
      </c>
      <c r="D667" s="7">
        <v>45</v>
      </c>
      <c r="E667" s="6">
        <v>7.92</v>
      </c>
      <c r="F667">
        <v>97</v>
      </c>
      <c r="G667" s="3">
        <v>45007.944444444445</v>
      </c>
      <c r="H667" s="3">
        <v>45007.975694444445</v>
      </c>
      <c r="I667" s="3">
        <v>45007.944444444445</v>
      </c>
      <c r="J667" s="3">
        <v>45007.975694444445</v>
      </c>
      <c r="K667" t="s">
        <v>16</v>
      </c>
      <c r="L667" t="s">
        <v>28</v>
      </c>
      <c r="M667" t="str">
        <f>VLOOKUP(Table1[[#This Row],[Job_Status]],$V$2:$W$4,2,FALSE)</f>
        <v>Good</v>
      </c>
      <c r="N667" s="7">
        <f>VLOOKUP(Table1[[#This Row],[Job_Status]],$V$2:$X$4,3,FALSE)</f>
        <v>0</v>
      </c>
    </row>
    <row r="668" spans="1:14" x14ac:dyDescent="0.3">
      <c r="A668" t="s">
        <v>14</v>
      </c>
      <c r="B668" t="s">
        <v>23</v>
      </c>
      <c r="C668" s="5">
        <v>2.92</v>
      </c>
      <c r="D668" s="7">
        <v>71</v>
      </c>
      <c r="E668" s="6">
        <v>2.99</v>
      </c>
      <c r="F668">
        <v>97</v>
      </c>
      <c r="G668" s="3">
        <v>45007.951388888891</v>
      </c>
      <c r="H668" s="3">
        <v>45008.000694444447</v>
      </c>
      <c r="I668" s="3">
        <v>45007.949305555558</v>
      </c>
      <c r="J668" s="3">
        <v>45007.998611111114</v>
      </c>
      <c r="K668" t="s">
        <v>16</v>
      </c>
      <c r="L668" t="s">
        <v>20</v>
      </c>
      <c r="M668" t="str">
        <f>VLOOKUP(Table1[[#This Row],[Job_Status]],$V$2:$W$4,2,FALSE)</f>
        <v>Good</v>
      </c>
      <c r="N668" s="7">
        <f>VLOOKUP(Table1[[#This Row],[Job_Status]],$V$2:$X$4,3,FALSE)</f>
        <v>0</v>
      </c>
    </row>
    <row r="669" spans="1:14" x14ac:dyDescent="0.3">
      <c r="A669" t="s">
        <v>14</v>
      </c>
      <c r="B669" t="s">
        <v>32</v>
      </c>
      <c r="C669" s="5">
        <v>2.63</v>
      </c>
      <c r="D669" s="7">
        <v>71</v>
      </c>
      <c r="E669" s="6">
        <v>6.57</v>
      </c>
      <c r="F669">
        <v>97</v>
      </c>
      <c r="G669" s="3">
        <v>45007.958333333336</v>
      </c>
      <c r="H669" s="3">
        <v>45008.007638888892</v>
      </c>
      <c r="I669" s="3">
        <v>45007.961111111108</v>
      </c>
      <c r="J669" s="3">
        <v>45008.010416666664</v>
      </c>
      <c r="K669" t="s">
        <v>16</v>
      </c>
      <c r="L669" t="s">
        <v>28</v>
      </c>
      <c r="M669" t="str">
        <f>VLOOKUP(Table1[[#This Row],[Job_Status]],$V$2:$W$4,2,FALSE)</f>
        <v>Good</v>
      </c>
      <c r="N669" s="7">
        <f>VLOOKUP(Table1[[#This Row],[Job_Status]],$V$2:$X$4,3,FALSE)</f>
        <v>0</v>
      </c>
    </row>
    <row r="670" spans="1:14" x14ac:dyDescent="0.3">
      <c r="A670" t="s">
        <v>14</v>
      </c>
      <c r="B670" t="s">
        <v>23</v>
      </c>
      <c r="C670" s="5">
        <v>3.36</v>
      </c>
      <c r="D670" s="7">
        <v>29</v>
      </c>
      <c r="E670" s="6">
        <v>11.77</v>
      </c>
      <c r="F670">
        <v>94</v>
      </c>
      <c r="G670" s="3">
        <v>45007.965277777781</v>
      </c>
      <c r="H670" s="3">
        <v>45007.98541666667</v>
      </c>
      <c r="I670" s="3">
        <v>45007.962500000001</v>
      </c>
      <c r="J670" s="3">
        <v>45007.982638888891</v>
      </c>
      <c r="K670" t="s">
        <v>16</v>
      </c>
      <c r="L670" t="s">
        <v>20</v>
      </c>
      <c r="M670" t="str">
        <f>VLOOKUP(Table1[[#This Row],[Job_Status]],$V$2:$W$4,2,FALSE)</f>
        <v>Good</v>
      </c>
      <c r="N670" s="7">
        <f>VLOOKUP(Table1[[#This Row],[Job_Status]],$V$2:$X$4,3,FALSE)</f>
        <v>0</v>
      </c>
    </row>
    <row r="671" spans="1:14" x14ac:dyDescent="0.3">
      <c r="A671" t="s">
        <v>40</v>
      </c>
      <c r="B671" t="s">
        <v>23</v>
      </c>
      <c r="C671" s="5">
        <v>3.22</v>
      </c>
      <c r="D671" s="7">
        <v>39</v>
      </c>
      <c r="E671" s="6">
        <v>5.85</v>
      </c>
      <c r="F671">
        <v>94</v>
      </c>
      <c r="G671" s="3">
        <v>45007.972222222219</v>
      </c>
      <c r="H671" s="3">
        <v>45007.999305555553</v>
      </c>
      <c r="I671" s="3">
        <v>45007.96875</v>
      </c>
      <c r="J671" s="3">
        <v>45007.995833333334</v>
      </c>
      <c r="K671" t="s">
        <v>16</v>
      </c>
      <c r="L671" t="s">
        <v>20</v>
      </c>
      <c r="M671" t="str">
        <f>VLOOKUP(Table1[[#This Row],[Job_Status]],$V$2:$W$4,2,FALSE)</f>
        <v>Good</v>
      </c>
      <c r="N671" s="7">
        <f>VLOOKUP(Table1[[#This Row],[Job_Status]],$V$2:$X$4,3,FALSE)</f>
        <v>0</v>
      </c>
    </row>
    <row r="672" spans="1:14" x14ac:dyDescent="0.3">
      <c r="A672" t="s">
        <v>14</v>
      </c>
      <c r="B672" t="s">
        <v>15</v>
      </c>
      <c r="C672" s="5">
        <v>4.21</v>
      </c>
      <c r="D672" s="7">
        <v>84</v>
      </c>
      <c r="E672" s="6">
        <v>10.61</v>
      </c>
      <c r="F672">
        <v>91</v>
      </c>
      <c r="G672" s="3">
        <v>45007.979166666664</v>
      </c>
      <c r="H672" s="3">
        <v>45008.037499999999</v>
      </c>
      <c r="I672" s="3">
        <v>45007.979861111111</v>
      </c>
      <c r="J672" s="3">
        <v>45008.038194444445</v>
      </c>
      <c r="K672" t="s">
        <v>16</v>
      </c>
      <c r="L672" t="s">
        <v>17</v>
      </c>
      <c r="M672" t="str">
        <f>VLOOKUP(Table1[[#This Row],[Job_Status]],$V$2:$W$4,2,FALSE)</f>
        <v>Good</v>
      </c>
      <c r="N672" s="7">
        <f>VLOOKUP(Table1[[#This Row],[Job_Status]],$V$2:$X$4,3,FALSE)</f>
        <v>0</v>
      </c>
    </row>
    <row r="673" spans="1:14" x14ac:dyDescent="0.3">
      <c r="A673" t="s">
        <v>30</v>
      </c>
      <c r="B673" t="s">
        <v>36</v>
      </c>
      <c r="C673" s="5">
        <v>3</v>
      </c>
      <c r="D673" s="7">
        <v>116</v>
      </c>
      <c r="E673" s="6">
        <v>8.84</v>
      </c>
      <c r="F673">
        <v>91</v>
      </c>
      <c r="G673" s="3">
        <v>45007.986111111109</v>
      </c>
      <c r="H673" s="3">
        <v>45008.066666666666</v>
      </c>
      <c r="I673" s="3">
        <v>45007.986111111109</v>
      </c>
      <c r="J673" s="3">
        <v>45008.066666666666</v>
      </c>
      <c r="K673" t="s">
        <v>16</v>
      </c>
      <c r="L673" t="s">
        <v>28</v>
      </c>
      <c r="M673" t="str">
        <f>VLOOKUP(Table1[[#This Row],[Job_Status]],$V$2:$W$4,2,FALSE)</f>
        <v>Good</v>
      </c>
      <c r="N673" s="7">
        <f>VLOOKUP(Table1[[#This Row],[Job_Status]],$V$2:$X$4,3,FALSE)</f>
        <v>0</v>
      </c>
    </row>
    <row r="674" spans="1:14" x14ac:dyDescent="0.3">
      <c r="A674" t="s">
        <v>30</v>
      </c>
      <c r="B674" t="s">
        <v>15</v>
      </c>
      <c r="C674" s="5">
        <v>1.72</v>
      </c>
      <c r="D674" s="7">
        <v>30</v>
      </c>
      <c r="E674" s="6">
        <v>7.5</v>
      </c>
      <c r="F674">
        <v>81</v>
      </c>
      <c r="G674" s="3">
        <v>45007.993055555555</v>
      </c>
      <c r="H674" s="3">
        <v>45008.013888888891</v>
      </c>
      <c r="I674" s="3">
        <v>45008</v>
      </c>
      <c r="J674" s="3">
        <v>45008.020833333336</v>
      </c>
      <c r="K674" t="s">
        <v>19</v>
      </c>
      <c r="L674" t="s">
        <v>20</v>
      </c>
      <c r="M674" t="str">
        <f>VLOOKUP(Table1[[#This Row],[Job_Status]],$V$2:$W$4,2,FALSE)</f>
        <v>Good</v>
      </c>
      <c r="N674" s="7">
        <f>VLOOKUP(Table1[[#This Row],[Job_Status]],$V$2:$X$4,3,FALSE)</f>
        <v>0</v>
      </c>
    </row>
    <row r="675" spans="1:14" x14ac:dyDescent="0.3">
      <c r="A675" t="s">
        <v>30</v>
      </c>
      <c r="B675" t="s">
        <v>15</v>
      </c>
      <c r="C675" s="5">
        <v>2.4300000000000002</v>
      </c>
      <c r="D675" s="7">
        <v>102</v>
      </c>
      <c r="E675" s="6">
        <v>9.49</v>
      </c>
      <c r="F675">
        <v>84</v>
      </c>
      <c r="G675" s="3">
        <v>45008</v>
      </c>
      <c r="H675" s="3">
        <v>45008.070833333331</v>
      </c>
      <c r="I675" s="3">
        <v>45008.006944444445</v>
      </c>
      <c r="J675" s="3">
        <v>45008.077777777777</v>
      </c>
      <c r="K675" t="s">
        <v>19</v>
      </c>
      <c r="L675" t="s">
        <v>20</v>
      </c>
      <c r="M675" t="str">
        <f>VLOOKUP(Table1[[#This Row],[Job_Status]],$V$2:$W$4,2,FALSE)</f>
        <v>Good</v>
      </c>
      <c r="N675" s="7">
        <f>VLOOKUP(Table1[[#This Row],[Job_Status]],$V$2:$X$4,3,FALSE)</f>
        <v>0</v>
      </c>
    </row>
    <row r="676" spans="1:14" x14ac:dyDescent="0.3">
      <c r="A676" t="s">
        <v>40</v>
      </c>
      <c r="B676" t="s">
        <v>23</v>
      </c>
      <c r="C676" s="5">
        <v>4.68</v>
      </c>
      <c r="D676" s="7">
        <v>99</v>
      </c>
      <c r="E676" s="6">
        <v>6.84</v>
      </c>
      <c r="F676">
        <v>82</v>
      </c>
      <c r="G676" s="3">
        <v>45008.006944444445</v>
      </c>
      <c r="H676" s="3">
        <v>45008.075694444444</v>
      </c>
      <c r="I676" s="3">
        <v>45008.008333333331</v>
      </c>
      <c r="J676" s="3">
        <v>45008.07708333333</v>
      </c>
      <c r="K676" t="s">
        <v>16</v>
      </c>
      <c r="L676" t="s">
        <v>28</v>
      </c>
      <c r="M676" t="str">
        <f>VLOOKUP(Table1[[#This Row],[Job_Status]],$V$2:$W$4,2,FALSE)</f>
        <v>Good</v>
      </c>
      <c r="N676" s="7">
        <f>VLOOKUP(Table1[[#This Row],[Job_Status]],$V$2:$X$4,3,FALSE)</f>
        <v>0</v>
      </c>
    </row>
    <row r="677" spans="1:14" x14ac:dyDescent="0.3">
      <c r="A677" t="s">
        <v>40</v>
      </c>
      <c r="B677" t="s">
        <v>15</v>
      </c>
      <c r="C677" s="5">
        <v>3.67</v>
      </c>
      <c r="D677" s="7">
        <v>25</v>
      </c>
      <c r="E677" s="6">
        <v>4.1399999999999997</v>
      </c>
      <c r="F677">
        <v>96</v>
      </c>
      <c r="G677" s="3">
        <v>45008.013888888891</v>
      </c>
      <c r="H677" s="3">
        <v>45008.03125</v>
      </c>
      <c r="K677" t="s">
        <v>24</v>
      </c>
      <c r="L677" t="s">
        <v>20</v>
      </c>
      <c r="M677" t="str">
        <f>VLOOKUP(Table1[[#This Row],[Job_Status]],$V$2:$W$4,2,FALSE)</f>
        <v>Defect</v>
      </c>
      <c r="N677" s="7">
        <f>VLOOKUP(Table1[[#This Row],[Job_Status]],$V$2:$X$4,3,FALSE)</f>
        <v>100</v>
      </c>
    </row>
    <row r="678" spans="1:14" x14ac:dyDescent="0.3">
      <c r="A678" t="s">
        <v>14</v>
      </c>
      <c r="B678" t="s">
        <v>32</v>
      </c>
      <c r="C678" s="5">
        <v>1.37</v>
      </c>
      <c r="D678" s="7">
        <v>108</v>
      </c>
      <c r="E678" s="6">
        <v>12.39</v>
      </c>
      <c r="F678">
        <v>83</v>
      </c>
      <c r="G678" s="3">
        <v>45008.020833333336</v>
      </c>
      <c r="H678" s="3">
        <v>45008.095833333333</v>
      </c>
      <c r="I678" s="3">
        <v>45008.032638888886</v>
      </c>
      <c r="J678" s="3">
        <v>45008.107638888891</v>
      </c>
      <c r="K678" t="s">
        <v>19</v>
      </c>
      <c r="L678" t="s">
        <v>20</v>
      </c>
      <c r="M678" t="str">
        <f>VLOOKUP(Table1[[#This Row],[Job_Status]],$V$2:$W$4,2,FALSE)</f>
        <v>Good</v>
      </c>
      <c r="N678" s="7">
        <f>VLOOKUP(Table1[[#This Row],[Job_Status]],$V$2:$X$4,3,FALSE)</f>
        <v>0</v>
      </c>
    </row>
    <row r="679" spans="1:14" x14ac:dyDescent="0.3">
      <c r="A679" t="s">
        <v>30</v>
      </c>
      <c r="B679" t="s">
        <v>23</v>
      </c>
      <c r="C679" s="5">
        <v>4.6100000000000003</v>
      </c>
      <c r="D679" s="7">
        <v>111</v>
      </c>
      <c r="E679" s="6">
        <v>10.3</v>
      </c>
      <c r="F679">
        <v>89</v>
      </c>
      <c r="G679" s="3">
        <v>45008.027777777781</v>
      </c>
      <c r="H679" s="3">
        <v>45008.104861111111</v>
      </c>
      <c r="I679" s="3">
        <v>45008.044444444444</v>
      </c>
      <c r="J679" s="3">
        <v>45008.121527777781</v>
      </c>
      <c r="K679" t="s">
        <v>19</v>
      </c>
      <c r="L679" t="s">
        <v>20</v>
      </c>
      <c r="M679" t="str">
        <f>VLOOKUP(Table1[[#This Row],[Job_Status]],$V$2:$W$4,2,FALSE)</f>
        <v>Good</v>
      </c>
      <c r="N679" s="7">
        <f>VLOOKUP(Table1[[#This Row],[Job_Status]],$V$2:$X$4,3,FALSE)</f>
        <v>0</v>
      </c>
    </row>
    <row r="680" spans="1:14" x14ac:dyDescent="0.3">
      <c r="A680" t="s">
        <v>40</v>
      </c>
      <c r="B680" t="s">
        <v>23</v>
      </c>
      <c r="C680" s="5">
        <v>4.05</v>
      </c>
      <c r="D680" s="7">
        <v>58</v>
      </c>
      <c r="E680" s="6">
        <v>14.55</v>
      </c>
      <c r="F680">
        <v>97</v>
      </c>
      <c r="G680" s="3">
        <v>45008.034722222219</v>
      </c>
      <c r="H680" s="3">
        <v>45008.074999999997</v>
      </c>
      <c r="I680" s="3">
        <v>45008.050694444442</v>
      </c>
      <c r="J680" s="3">
        <v>45008.09097222222</v>
      </c>
      <c r="K680" t="s">
        <v>19</v>
      </c>
      <c r="L680" t="s">
        <v>20</v>
      </c>
      <c r="M680" t="str">
        <f>VLOOKUP(Table1[[#This Row],[Job_Status]],$V$2:$W$4,2,FALSE)</f>
        <v>Good</v>
      </c>
      <c r="N680" s="7">
        <f>VLOOKUP(Table1[[#This Row],[Job_Status]],$V$2:$X$4,3,FALSE)</f>
        <v>0</v>
      </c>
    </row>
    <row r="681" spans="1:14" x14ac:dyDescent="0.3">
      <c r="A681" t="s">
        <v>14</v>
      </c>
      <c r="B681" t="s">
        <v>36</v>
      </c>
      <c r="C681" s="5">
        <v>1.65</v>
      </c>
      <c r="D681" s="7">
        <v>76</v>
      </c>
      <c r="E681" s="6">
        <v>10.69</v>
      </c>
      <c r="F681">
        <v>88</v>
      </c>
      <c r="G681" s="3">
        <v>45008.041666666664</v>
      </c>
      <c r="H681" s="3">
        <v>45008.094444444447</v>
      </c>
      <c r="I681" s="3">
        <v>45008.040277777778</v>
      </c>
      <c r="J681" s="3">
        <v>45008.093055555553</v>
      </c>
      <c r="K681" t="s">
        <v>16</v>
      </c>
      <c r="L681" t="s">
        <v>20</v>
      </c>
      <c r="M681" t="str">
        <f>VLOOKUP(Table1[[#This Row],[Job_Status]],$V$2:$W$4,2,FALSE)</f>
        <v>Good</v>
      </c>
      <c r="N681" s="7">
        <f>VLOOKUP(Table1[[#This Row],[Job_Status]],$V$2:$X$4,3,FALSE)</f>
        <v>0</v>
      </c>
    </row>
    <row r="682" spans="1:14" x14ac:dyDescent="0.3">
      <c r="A682" t="s">
        <v>30</v>
      </c>
      <c r="B682" t="s">
        <v>23</v>
      </c>
      <c r="C682" s="5">
        <v>3.12</v>
      </c>
      <c r="D682" s="7">
        <v>24</v>
      </c>
      <c r="E682" s="6">
        <v>11.09</v>
      </c>
      <c r="F682">
        <v>86</v>
      </c>
      <c r="G682" s="3">
        <v>45008.048611111109</v>
      </c>
      <c r="H682" s="3">
        <v>45008.06527777778</v>
      </c>
      <c r="I682" s="3">
        <v>45008.05</v>
      </c>
      <c r="J682" s="3">
        <v>45008.066666666666</v>
      </c>
      <c r="K682" t="s">
        <v>16</v>
      </c>
      <c r="L682" t="s">
        <v>17</v>
      </c>
      <c r="M682" t="str">
        <f>VLOOKUP(Table1[[#This Row],[Job_Status]],$V$2:$W$4,2,FALSE)</f>
        <v>Good</v>
      </c>
      <c r="N682" s="7">
        <f>VLOOKUP(Table1[[#This Row],[Job_Status]],$V$2:$X$4,3,FALSE)</f>
        <v>0</v>
      </c>
    </row>
    <row r="683" spans="1:14" x14ac:dyDescent="0.3">
      <c r="A683" t="s">
        <v>22</v>
      </c>
      <c r="B683" t="s">
        <v>15</v>
      </c>
      <c r="C683" s="5">
        <v>4.08</v>
      </c>
      <c r="D683" s="7">
        <v>67</v>
      </c>
      <c r="E683" s="6">
        <v>11.06</v>
      </c>
      <c r="F683">
        <v>81</v>
      </c>
      <c r="G683" s="3">
        <v>45008.055555555555</v>
      </c>
      <c r="H683" s="3">
        <v>45008.102083333331</v>
      </c>
      <c r="I683" s="3">
        <v>45008.052777777775</v>
      </c>
      <c r="J683" s="3">
        <v>45008.099305555559</v>
      </c>
      <c r="K683" t="s">
        <v>16</v>
      </c>
      <c r="L683" t="s">
        <v>20</v>
      </c>
      <c r="M683" t="str">
        <f>VLOOKUP(Table1[[#This Row],[Job_Status]],$V$2:$W$4,2,FALSE)</f>
        <v>Good</v>
      </c>
      <c r="N683" s="7">
        <f>VLOOKUP(Table1[[#This Row],[Job_Status]],$V$2:$X$4,3,FALSE)</f>
        <v>0</v>
      </c>
    </row>
    <row r="684" spans="1:14" x14ac:dyDescent="0.3">
      <c r="A684" t="s">
        <v>40</v>
      </c>
      <c r="B684" t="s">
        <v>32</v>
      </c>
      <c r="C684" s="5">
        <v>1.73</v>
      </c>
      <c r="D684" s="7">
        <v>46</v>
      </c>
      <c r="E684" s="6">
        <v>4.04</v>
      </c>
      <c r="F684">
        <v>85</v>
      </c>
      <c r="G684" s="3">
        <v>45008.0625</v>
      </c>
      <c r="H684" s="3">
        <v>45008.094444444447</v>
      </c>
      <c r="I684" s="3">
        <v>45008.05972222222</v>
      </c>
      <c r="J684" s="3">
        <v>45008.091666666667</v>
      </c>
      <c r="K684" t="s">
        <v>16</v>
      </c>
      <c r="L684" t="s">
        <v>20</v>
      </c>
      <c r="M684" t="str">
        <f>VLOOKUP(Table1[[#This Row],[Job_Status]],$V$2:$W$4,2,FALSE)</f>
        <v>Good</v>
      </c>
      <c r="N684" s="7">
        <f>VLOOKUP(Table1[[#This Row],[Job_Status]],$V$2:$X$4,3,FALSE)</f>
        <v>0</v>
      </c>
    </row>
    <row r="685" spans="1:14" x14ac:dyDescent="0.3">
      <c r="A685" t="s">
        <v>22</v>
      </c>
      <c r="B685" t="s">
        <v>15</v>
      </c>
      <c r="C685" s="5">
        <v>2.2200000000000002</v>
      </c>
      <c r="D685" s="7">
        <v>46</v>
      </c>
      <c r="E685" s="6">
        <v>6.99</v>
      </c>
      <c r="F685">
        <v>90</v>
      </c>
      <c r="G685" s="3">
        <v>45008.069444444445</v>
      </c>
      <c r="H685" s="3">
        <v>45008.101388888892</v>
      </c>
      <c r="I685" s="3">
        <v>45008.065972222219</v>
      </c>
      <c r="J685" s="3">
        <v>45008.097916666666</v>
      </c>
      <c r="K685" t="s">
        <v>16</v>
      </c>
      <c r="L685" t="s">
        <v>20</v>
      </c>
      <c r="M685" t="str">
        <f>VLOOKUP(Table1[[#This Row],[Job_Status]],$V$2:$W$4,2,FALSE)</f>
        <v>Good</v>
      </c>
      <c r="N685" s="7">
        <f>VLOOKUP(Table1[[#This Row],[Job_Status]],$V$2:$X$4,3,FALSE)</f>
        <v>0</v>
      </c>
    </row>
    <row r="686" spans="1:14" x14ac:dyDescent="0.3">
      <c r="A686" t="s">
        <v>40</v>
      </c>
      <c r="B686" t="s">
        <v>15</v>
      </c>
      <c r="C686" s="5">
        <v>1.46</v>
      </c>
      <c r="D686" s="7">
        <v>28</v>
      </c>
      <c r="E686" s="6">
        <v>13.43</v>
      </c>
      <c r="F686">
        <v>96</v>
      </c>
      <c r="G686" s="3">
        <v>45008.076388888891</v>
      </c>
      <c r="H686" s="3">
        <v>45008.095833333333</v>
      </c>
      <c r="I686" s="3">
        <v>45008.073611111111</v>
      </c>
      <c r="J686" s="3">
        <v>45008.093055555553</v>
      </c>
      <c r="K686" t="s">
        <v>16</v>
      </c>
      <c r="L686" t="s">
        <v>20</v>
      </c>
      <c r="M686" t="str">
        <f>VLOOKUP(Table1[[#This Row],[Job_Status]],$V$2:$W$4,2,FALSE)</f>
        <v>Good</v>
      </c>
      <c r="N686" s="7">
        <f>VLOOKUP(Table1[[#This Row],[Job_Status]],$V$2:$X$4,3,FALSE)</f>
        <v>0</v>
      </c>
    </row>
    <row r="687" spans="1:14" x14ac:dyDescent="0.3">
      <c r="A687" t="s">
        <v>40</v>
      </c>
      <c r="B687" t="s">
        <v>23</v>
      </c>
      <c r="C687" s="5">
        <v>4.3899999999999997</v>
      </c>
      <c r="D687" s="7">
        <v>81</v>
      </c>
      <c r="E687" s="6">
        <v>10.4</v>
      </c>
      <c r="F687">
        <v>91</v>
      </c>
      <c r="G687" s="3">
        <v>45008.083333333336</v>
      </c>
      <c r="H687" s="3">
        <v>45008.13958333333</v>
      </c>
      <c r="I687" s="3">
        <v>45008.084027777775</v>
      </c>
      <c r="J687" s="3">
        <v>45008.140277777777</v>
      </c>
      <c r="K687" t="s">
        <v>16</v>
      </c>
      <c r="L687" t="s">
        <v>17</v>
      </c>
      <c r="M687" t="str">
        <f>VLOOKUP(Table1[[#This Row],[Job_Status]],$V$2:$W$4,2,FALSE)</f>
        <v>Good</v>
      </c>
      <c r="N687" s="7">
        <f>VLOOKUP(Table1[[#This Row],[Job_Status]],$V$2:$X$4,3,FALSE)</f>
        <v>0</v>
      </c>
    </row>
    <row r="688" spans="1:14" x14ac:dyDescent="0.3">
      <c r="A688" t="s">
        <v>40</v>
      </c>
      <c r="B688" t="s">
        <v>32</v>
      </c>
      <c r="C688" s="5">
        <v>4.76</v>
      </c>
      <c r="D688" s="7">
        <v>37</v>
      </c>
      <c r="E688" s="6">
        <v>5.0199999999999996</v>
      </c>
      <c r="F688">
        <v>98</v>
      </c>
      <c r="G688" s="3">
        <v>45008.090277777781</v>
      </c>
      <c r="H688" s="3">
        <v>45008.115972222222</v>
      </c>
      <c r="I688" s="3">
        <v>45008.09375</v>
      </c>
      <c r="J688" s="3">
        <v>45008.119444444441</v>
      </c>
      <c r="K688" t="s">
        <v>16</v>
      </c>
      <c r="L688" t="s">
        <v>28</v>
      </c>
      <c r="M688" t="str">
        <f>VLOOKUP(Table1[[#This Row],[Job_Status]],$V$2:$W$4,2,FALSE)</f>
        <v>Good</v>
      </c>
      <c r="N688" s="7">
        <f>VLOOKUP(Table1[[#This Row],[Job_Status]],$V$2:$X$4,3,FALSE)</f>
        <v>0</v>
      </c>
    </row>
    <row r="689" spans="1:14" x14ac:dyDescent="0.3">
      <c r="A689" t="s">
        <v>30</v>
      </c>
      <c r="B689" t="s">
        <v>36</v>
      </c>
      <c r="C689" s="5">
        <v>1.84</v>
      </c>
      <c r="D689" s="7">
        <v>78</v>
      </c>
      <c r="E689" s="6">
        <v>11.24</v>
      </c>
      <c r="F689">
        <v>82</v>
      </c>
      <c r="G689" s="3">
        <v>45008.097222222219</v>
      </c>
      <c r="H689" s="3">
        <v>45008.151388888888</v>
      </c>
      <c r="K689" t="s">
        <v>24</v>
      </c>
      <c r="L689" t="s">
        <v>20</v>
      </c>
      <c r="M689" t="str">
        <f>VLOOKUP(Table1[[#This Row],[Job_Status]],$V$2:$W$4,2,FALSE)</f>
        <v>Defect</v>
      </c>
      <c r="N689" s="7">
        <f>VLOOKUP(Table1[[#This Row],[Job_Status]],$V$2:$X$4,3,FALSE)</f>
        <v>100</v>
      </c>
    </row>
    <row r="690" spans="1:14" x14ac:dyDescent="0.3">
      <c r="A690" t="s">
        <v>14</v>
      </c>
      <c r="B690" t="s">
        <v>32</v>
      </c>
      <c r="C690" s="5">
        <v>4.75</v>
      </c>
      <c r="D690" s="7">
        <v>62</v>
      </c>
      <c r="E690" s="6">
        <v>7.47</v>
      </c>
      <c r="F690">
        <v>89</v>
      </c>
      <c r="G690" s="3">
        <v>45008.104166666664</v>
      </c>
      <c r="H690" s="3">
        <v>45008.147222222222</v>
      </c>
      <c r="I690" s="3">
        <v>45008.102777777778</v>
      </c>
      <c r="J690" s="3">
        <v>45008.145833333336</v>
      </c>
      <c r="K690" t="s">
        <v>16</v>
      </c>
      <c r="L690" t="s">
        <v>20</v>
      </c>
      <c r="M690" t="str">
        <f>VLOOKUP(Table1[[#This Row],[Job_Status]],$V$2:$W$4,2,FALSE)</f>
        <v>Good</v>
      </c>
      <c r="N690" s="7">
        <f>VLOOKUP(Table1[[#This Row],[Job_Status]],$V$2:$X$4,3,FALSE)</f>
        <v>0</v>
      </c>
    </row>
    <row r="691" spans="1:14" x14ac:dyDescent="0.3">
      <c r="A691" t="s">
        <v>40</v>
      </c>
      <c r="B691" t="s">
        <v>27</v>
      </c>
      <c r="C691" s="5">
        <v>1.17</v>
      </c>
      <c r="D691" s="7">
        <v>25</v>
      </c>
      <c r="E691" s="6">
        <v>5.92</v>
      </c>
      <c r="F691">
        <v>85</v>
      </c>
      <c r="G691" s="3">
        <v>45008.111111111109</v>
      </c>
      <c r="H691" s="3">
        <v>45008.128472222219</v>
      </c>
      <c r="I691" s="3">
        <v>45008.113888888889</v>
      </c>
      <c r="J691" s="3">
        <v>45008.131249999999</v>
      </c>
      <c r="K691" t="s">
        <v>16</v>
      </c>
      <c r="L691" t="s">
        <v>28</v>
      </c>
      <c r="M691" t="str">
        <f>VLOOKUP(Table1[[#This Row],[Job_Status]],$V$2:$W$4,2,FALSE)</f>
        <v>Good</v>
      </c>
      <c r="N691" s="7">
        <f>VLOOKUP(Table1[[#This Row],[Job_Status]],$V$2:$X$4,3,FALSE)</f>
        <v>0</v>
      </c>
    </row>
    <row r="692" spans="1:14" x14ac:dyDescent="0.3">
      <c r="A692" t="s">
        <v>34</v>
      </c>
      <c r="B692" t="s">
        <v>27</v>
      </c>
      <c r="C692" s="5">
        <v>3.73</v>
      </c>
      <c r="D692" s="7">
        <v>40</v>
      </c>
      <c r="E692" s="6">
        <v>10.82</v>
      </c>
      <c r="F692">
        <v>94</v>
      </c>
      <c r="G692" s="3">
        <v>45008.118055555555</v>
      </c>
      <c r="H692" s="3">
        <v>45008.145833333336</v>
      </c>
      <c r="I692" s="3">
        <v>45008.127083333333</v>
      </c>
      <c r="J692" s="3">
        <v>45008.154861111114</v>
      </c>
      <c r="K692" t="s">
        <v>19</v>
      </c>
      <c r="L692" t="s">
        <v>20</v>
      </c>
      <c r="M692" t="str">
        <f>VLOOKUP(Table1[[#This Row],[Job_Status]],$V$2:$W$4,2,FALSE)</f>
        <v>Good</v>
      </c>
      <c r="N692" s="7">
        <f>VLOOKUP(Table1[[#This Row],[Job_Status]],$V$2:$X$4,3,FALSE)</f>
        <v>0</v>
      </c>
    </row>
    <row r="693" spans="1:14" x14ac:dyDescent="0.3">
      <c r="A693" t="s">
        <v>34</v>
      </c>
      <c r="B693" t="s">
        <v>32</v>
      </c>
      <c r="C693" s="5">
        <v>3.48</v>
      </c>
      <c r="D693" s="7">
        <v>87</v>
      </c>
      <c r="E693" s="6">
        <v>4.38</v>
      </c>
      <c r="F693">
        <v>97</v>
      </c>
      <c r="G693" s="3">
        <v>45008.125</v>
      </c>
      <c r="H693" s="3">
        <v>45008.185416666667</v>
      </c>
      <c r="I693" s="3">
        <v>45008.12222222222</v>
      </c>
      <c r="J693" s="3">
        <v>45008.182638888888</v>
      </c>
      <c r="K693" t="s">
        <v>16</v>
      </c>
      <c r="L693" t="s">
        <v>20</v>
      </c>
      <c r="M693" t="str">
        <f>VLOOKUP(Table1[[#This Row],[Job_Status]],$V$2:$W$4,2,FALSE)</f>
        <v>Good</v>
      </c>
      <c r="N693" s="7">
        <f>VLOOKUP(Table1[[#This Row],[Job_Status]],$V$2:$X$4,3,FALSE)</f>
        <v>0</v>
      </c>
    </row>
    <row r="694" spans="1:14" x14ac:dyDescent="0.3">
      <c r="A694" t="s">
        <v>14</v>
      </c>
      <c r="B694" t="s">
        <v>36</v>
      </c>
      <c r="C694" s="5">
        <v>4.66</v>
      </c>
      <c r="D694" s="7">
        <v>83</v>
      </c>
      <c r="E694" s="6">
        <v>4.07</v>
      </c>
      <c r="F694">
        <v>89</v>
      </c>
      <c r="G694" s="3">
        <v>45008.131944444445</v>
      </c>
      <c r="H694" s="3">
        <v>45008.189583333333</v>
      </c>
      <c r="I694" s="3">
        <v>45008.132638888892</v>
      </c>
      <c r="J694" s="3">
        <v>45008.19027777778</v>
      </c>
      <c r="K694" t="s">
        <v>16</v>
      </c>
      <c r="L694" t="s">
        <v>28</v>
      </c>
      <c r="M694" t="str">
        <f>VLOOKUP(Table1[[#This Row],[Job_Status]],$V$2:$W$4,2,FALSE)</f>
        <v>Good</v>
      </c>
      <c r="N694" s="7">
        <f>VLOOKUP(Table1[[#This Row],[Job_Status]],$V$2:$X$4,3,FALSE)</f>
        <v>0</v>
      </c>
    </row>
    <row r="695" spans="1:14" x14ac:dyDescent="0.3">
      <c r="A695" t="s">
        <v>40</v>
      </c>
      <c r="B695" t="s">
        <v>27</v>
      </c>
      <c r="C695" s="5">
        <v>4.51</v>
      </c>
      <c r="D695" s="7">
        <v>59</v>
      </c>
      <c r="E695" s="6">
        <v>3.23</v>
      </c>
      <c r="F695">
        <v>85</v>
      </c>
      <c r="G695" s="3">
        <v>45008.138888888891</v>
      </c>
      <c r="H695" s="3">
        <v>45008.179861111108</v>
      </c>
      <c r="I695" s="3">
        <v>45008.135416666664</v>
      </c>
      <c r="J695" s="3">
        <v>45008.176388888889</v>
      </c>
      <c r="K695" t="s">
        <v>16</v>
      </c>
      <c r="L695" t="s">
        <v>20</v>
      </c>
      <c r="M695" t="str">
        <f>VLOOKUP(Table1[[#This Row],[Job_Status]],$V$2:$W$4,2,FALSE)</f>
        <v>Good</v>
      </c>
      <c r="N695" s="7">
        <f>VLOOKUP(Table1[[#This Row],[Job_Status]],$V$2:$X$4,3,FALSE)</f>
        <v>0</v>
      </c>
    </row>
    <row r="696" spans="1:14" x14ac:dyDescent="0.3">
      <c r="A696" t="s">
        <v>14</v>
      </c>
      <c r="B696" t="s">
        <v>36</v>
      </c>
      <c r="C696" s="5">
        <v>2.77</v>
      </c>
      <c r="D696" s="7">
        <v>23</v>
      </c>
      <c r="E696" s="6">
        <v>9.15</v>
      </c>
      <c r="F696">
        <v>94</v>
      </c>
      <c r="G696" s="3">
        <v>45008.145833333336</v>
      </c>
      <c r="H696" s="3">
        <v>45008.161805555559</v>
      </c>
      <c r="I696" s="3">
        <v>45008.148611111108</v>
      </c>
      <c r="J696" s="3">
        <v>45008.164583333331</v>
      </c>
      <c r="K696" t="s">
        <v>16</v>
      </c>
      <c r="L696" t="s">
        <v>17</v>
      </c>
      <c r="M696" t="str">
        <f>VLOOKUP(Table1[[#This Row],[Job_Status]],$V$2:$W$4,2,FALSE)</f>
        <v>Good</v>
      </c>
      <c r="N696" s="7">
        <f>VLOOKUP(Table1[[#This Row],[Job_Status]],$V$2:$X$4,3,FALSE)</f>
        <v>0</v>
      </c>
    </row>
    <row r="697" spans="1:14" x14ac:dyDescent="0.3">
      <c r="A697" t="s">
        <v>14</v>
      </c>
      <c r="B697" t="s">
        <v>32</v>
      </c>
      <c r="C697" s="5">
        <v>3.71</v>
      </c>
      <c r="D697" s="7">
        <v>80</v>
      </c>
      <c r="E697" s="6">
        <v>8.73</v>
      </c>
      <c r="F697">
        <v>96</v>
      </c>
      <c r="G697" s="3">
        <v>45008.152777777781</v>
      </c>
      <c r="H697" s="3">
        <v>45008.208333333336</v>
      </c>
      <c r="I697" s="3">
        <v>45008.17291666667</v>
      </c>
      <c r="J697" s="3">
        <v>45008.228472222225</v>
      </c>
      <c r="K697" t="s">
        <v>19</v>
      </c>
      <c r="L697" t="s">
        <v>20</v>
      </c>
      <c r="M697" t="str">
        <f>VLOOKUP(Table1[[#This Row],[Job_Status]],$V$2:$W$4,2,FALSE)</f>
        <v>Good</v>
      </c>
      <c r="N697" s="7">
        <f>VLOOKUP(Table1[[#This Row],[Job_Status]],$V$2:$X$4,3,FALSE)</f>
        <v>0</v>
      </c>
    </row>
    <row r="698" spans="1:14" x14ac:dyDescent="0.3">
      <c r="A698" t="s">
        <v>14</v>
      </c>
      <c r="B698" t="s">
        <v>27</v>
      </c>
      <c r="C698" s="5">
        <v>1.81</v>
      </c>
      <c r="D698" s="7">
        <v>114</v>
      </c>
      <c r="E698" s="6">
        <v>8.34</v>
      </c>
      <c r="F698">
        <v>89</v>
      </c>
      <c r="G698" s="3">
        <v>45008.159722222219</v>
      </c>
      <c r="H698" s="3">
        <v>45008.238888888889</v>
      </c>
      <c r="I698" s="3">
        <v>45008.179166666669</v>
      </c>
      <c r="J698" s="3">
        <v>45008.258333333331</v>
      </c>
      <c r="K698" t="s">
        <v>19</v>
      </c>
      <c r="L698" t="s">
        <v>20</v>
      </c>
      <c r="M698" t="str">
        <f>VLOOKUP(Table1[[#This Row],[Job_Status]],$V$2:$W$4,2,FALSE)</f>
        <v>Good</v>
      </c>
      <c r="N698" s="7">
        <f>VLOOKUP(Table1[[#This Row],[Job_Status]],$V$2:$X$4,3,FALSE)</f>
        <v>0</v>
      </c>
    </row>
    <row r="699" spans="1:14" x14ac:dyDescent="0.3">
      <c r="A699" t="s">
        <v>22</v>
      </c>
      <c r="B699" t="s">
        <v>15</v>
      </c>
      <c r="C699" s="5">
        <v>2.08</v>
      </c>
      <c r="D699" s="7">
        <v>74</v>
      </c>
      <c r="E699" s="6">
        <v>7.6</v>
      </c>
      <c r="F699">
        <v>90</v>
      </c>
      <c r="G699" s="3">
        <v>45008.166666666664</v>
      </c>
      <c r="H699" s="3">
        <v>45008.218055555553</v>
      </c>
      <c r="I699" s="3">
        <v>45008.175000000003</v>
      </c>
      <c r="J699" s="3">
        <v>45008.226388888892</v>
      </c>
      <c r="K699" t="s">
        <v>19</v>
      </c>
      <c r="L699" t="s">
        <v>20</v>
      </c>
      <c r="M699" t="str">
        <f>VLOOKUP(Table1[[#This Row],[Job_Status]],$V$2:$W$4,2,FALSE)</f>
        <v>Good</v>
      </c>
      <c r="N699" s="7">
        <f>VLOOKUP(Table1[[#This Row],[Job_Status]],$V$2:$X$4,3,FALSE)</f>
        <v>0</v>
      </c>
    </row>
    <row r="700" spans="1:14" x14ac:dyDescent="0.3">
      <c r="A700" t="s">
        <v>34</v>
      </c>
      <c r="B700" t="s">
        <v>32</v>
      </c>
      <c r="C700" s="5">
        <v>2.46</v>
      </c>
      <c r="D700" s="7">
        <v>56</v>
      </c>
      <c r="E700" s="6">
        <v>13.15</v>
      </c>
      <c r="F700">
        <v>82</v>
      </c>
      <c r="G700" s="3">
        <v>45008.173611111109</v>
      </c>
      <c r="H700" s="3">
        <v>45008.212500000001</v>
      </c>
      <c r="I700" s="3">
        <v>45008.1875</v>
      </c>
      <c r="J700" s="3">
        <v>45008.226388888892</v>
      </c>
      <c r="K700" t="s">
        <v>19</v>
      </c>
      <c r="L700" t="s">
        <v>20</v>
      </c>
      <c r="M700" t="str">
        <f>VLOOKUP(Table1[[#This Row],[Job_Status]],$V$2:$W$4,2,FALSE)</f>
        <v>Good</v>
      </c>
      <c r="N700" s="7">
        <f>VLOOKUP(Table1[[#This Row],[Job_Status]],$V$2:$X$4,3,FALSE)</f>
        <v>0</v>
      </c>
    </row>
    <row r="701" spans="1:14" x14ac:dyDescent="0.3">
      <c r="A701" t="s">
        <v>40</v>
      </c>
      <c r="B701" t="s">
        <v>27</v>
      </c>
      <c r="C701" s="5">
        <v>3.94</v>
      </c>
      <c r="D701" s="7">
        <v>60</v>
      </c>
      <c r="E701" s="6">
        <v>8.6199999999999992</v>
      </c>
      <c r="F701">
        <v>96</v>
      </c>
      <c r="G701" s="3">
        <v>45008.180555555555</v>
      </c>
      <c r="H701" s="3">
        <v>45008.222222222219</v>
      </c>
      <c r="K701" t="s">
        <v>24</v>
      </c>
      <c r="L701" t="s">
        <v>20</v>
      </c>
      <c r="M701" t="str">
        <f>VLOOKUP(Table1[[#This Row],[Job_Status]],$V$2:$W$4,2,FALSE)</f>
        <v>Defect</v>
      </c>
      <c r="N701" s="7">
        <f>VLOOKUP(Table1[[#This Row],[Job_Status]],$V$2:$X$4,3,FALSE)</f>
        <v>100</v>
      </c>
    </row>
    <row r="702" spans="1:14" x14ac:dyDescent="0.3">
      <c r="A702" t="s">
        <v>14</v>
      </c>
      <c r="B702" t="s">
        <v>36</v>
      </c>
      <c r="C702" s="5">
        <v>3.16</v>
      </c>
      <c r="D702" s="7">
        <v>105</v>
      </c>
      <c r="E702" s="6">
        <v>8.39</v>
      </c>
      <c r="F702">
        <v>90</v>
      </c>
      <c r="G702" s="3">
        <v>45008.1875</v>
      </c>
      <c r="H702" s="3">
        <v>45008.260416666664</v>
      </c>
      <c r="I702" s="3">
        <v>45008.184027777781</v>
      </c>
      <c r="J702" s="3">
        <v>45008.256944444445</v>
      </c>
      <c r="K702" t="s">
        <v>16</v>
      </c>
      <c r="L702" t="s">
        <v>20</v>
      </c>
      <c r="M702" t="str">
        <f>VLOOKUP(Table1[[#This Row],[Job_Status]],$V$2:$W$4,2,FALSE)</f>
        <v>Good</v>
      </c>
      <c r="N702" s="7">
        <f>VLOOKUP(Table1[[#This Row],[Job_Status]],$V$2:$X$4,3,FALSE)</f>
        <v>0</v>
      </c>
    </row>
    <row r="703" spans="1:14" x14ac:dyDescent="0.3">
      <c r="A703" t="s">
        <v>30</v>
      </c>
      <c r="B703" t="s">
        <v>23</v>
      </c>
      <c r="C703" s="5">
        <v>2.37</v>
      </c>
      <c r="D703" s="7">
        <v>114</v>
      </c>
      <c r="E703" s="6">
        <v>6.02</v>
      </c>
      <c r="F703">
        <v>96</v>
      </c>
      <c r="G703" s="3">
        <v>45008.194444444445</v>
      </c>
      <c r="H703" s="3">
        <v>45008.273611111108</v>
      </c>
      <c r="K703" t="s">
        <v>24</v>
      </c>
      <c r="L703" t="s">
        <v>20</v>
      </c>
      <c r="M703" t="str">
        <f>VLOOKUP(Table1[[#This Row],[Job_Status]],$V$2:$W$4,2,FALSE)</f>
        <v>Defect</v>
      </c>
      <c r="N703" s="7">
        <f>VLOOKUP(Table1[[#This Row],[Job_Status]],$V$2:$X$4,3,FALSE)</f>
        <v>100</v>
      </c>
    </row>
    <row r="704" spans="1:14" x14ac:dyDescent="0.3">
      <c r="A704" t="s">
        <v>34</v>
      </c>
      <c r="B704" t="s">
        <v>27</v>
      </c>
      <c r="C704" s="5">
        <v>3.85</v>
      </c>
      <c r="D704" s="7">
        <v>45</v>
      </c>
      <c r="E704" s="6">
        <v>14.9</v>
      </c>
      <c r="F704">
        <v>94</v>
      </c>
      <c r="G704" s="3">
        <v>45008.201388888891</v>
      </c>
      <c r="H704" s="3">
        <v>45008.232638888891</v>
      </c>
      <c r="I704" s="3">
        <v>45008.209722222222</v>
      </c>
      <c r="J704" s="3">
        <v>45008.240972222222</v>
      </c>
      <c r="K704" t="s">
        <v>19</v>
      </c>
      <c r="L704" t="s">
        <v>20</v>
      </c>
      <c r="M704" t="str">
        <f>VLOOKUP(Table1[[#This Row],[Job_Status]],$V$2:$W$4,2,FALSE)</f>
        <v>Good</v>
      </c>
      <c r="N704" s="7">
        <f>VLOOKUP(Table1[[#This Row],[Job_Status]],$V$2:$X$4,3,FALSE)</f>
        <v>0</v>
      </c>
    </row>
    <row r="705" spans="1:14" x14ac:dyDescent="0.3">
      <c r="A705" t="s">
        <v>14</v>
      </c>
      <c r="B705" t="s">
        <v>23</v>
      </c>
      <c r="C705" s="5">
        <v>1.08</v>
      </c>
      <c r="D705" s="7">
        <v>41</v>
      </c>
      <c r="E705" s="6">
        <v>7.52</v>
      </c>
      <c r="F705">
        <v>99</v>
      </c>
      <c r="G705" s="3">
        <v>45008.208333333336</v>
      </c>
      <c r="H705" s="3">
        <v>45008.236805555556</v>
      </c>
      <c r="I705" s="3">
        <v>45008.211805555555</v>
      </c>
      <c r="J705" s="3">
        <v>45008.240277777775</v>
      </c>
      <c r="K705" t="s">
        <v>16</v>
      </c>
      <c r="L705" t="s">
        <v>17</v>
      </c>
      <c r="M705" t="str">
        <f>VLOOKUP(Table1[[#This Row],[Job_Status]],$V$2:$W$4,2,FALSE)</f>
        <v>Good</v>
      </c>
      <c r="N705" s="7">
        <f>VLOOKUP(Table1[[#This Row],[Job_Status]],$V$2:$X$4,3,FALSE)</f>
        <v>0</v>
      </c>
    </row>
    <row r="706" spans="1:14" x14ac:dyDescent="0.3">
      <c r="A706" t="s">
        <v>34</v>
      </c>
      <c r="B706" t="s">
        <v>27</v>
      </c>
      <c r="C706" s="5">
        <v>4.0999999999999996</v>
      </c>
      <c r="D706" s="7">
        <v>39</v>
      </c>
      <c r="E706" s="6">
        <v>9.1300000000000008</v>
      </c>
      <c r="F706">
        <v>87</v>
      </c>
      <c r="G706" s="3">
        <v>45008.215277777781</v>
      </c>
      <c r="H706" s="3">
        <v>45008.242361111108</v>
      </c>
      <c r="I706" s="3">
        <v>45008.226388888892</v>
      </c>
      <c r="J706" s="3">
        <v>45008.253472222219</v>
      </c>
      <c r="K706" t="s">
        <v>19</v>
      </c>
      <c r="L706" t="s">
        <v>20</v>
      </c>
      <c r="M706" t="str">
        <f>VLOOKUP(Table1[[#This Row],[Job_Status]],$V$2:$W$4,2,FALSE)</f>
        <v>Good</v>
      </c>
      <c r="N706" s="7">
        <f>VLOOKUP(Table1[[#This Row],[Job_Status]],$V$2:$X$4,3,FALSE)</f>
        <v>0</v>
      </c>
    </row>
    <row r="707" spans="1:14" x14ac:dyDescent="0.3">
      <c r="A707" t="s">
        <v>40</v>
      </c>
      <c r="B707" t="s">
        <v>27</v>
      </c>
      <c r="C707" s="5">
        <v>3.45</v>
      </c>
      <c r="D707" s="7">
        <v>85</v>
      </c>
      <c r="E707" s="6">
        <v>5.62</v>
      </c>
      <c r="F707">
        <v>93</v>
      </c>
      <c r="G707" s="3">
        <v>45008.222222222219</v>
      </c>
      <c r="H707" s="3">
        <v>45008.28125</v>
      </c>
      <c r="K707" t="s">
        <v>24</v>
      </c>
      <c r="L707" t="s">
        <v>20</v>
      </c>
      <c r="M707" t="str">
        <f>VLOOKUP(Table1[[#This Row],[Job_Status]],$V$2:$W$4,2,FALSE)</f>
        <v>Defect</v>
      </c>
      <c r="N707" s="7">
        <f>VLOOKUP(Table1[[#This Row],[Job_Status]],$V$2:$X$4,3,FALSE)</f>
        <v>100</v>
      </c>
    </row>
    <row r="708" spans="1:14" x14ac:dyDescent="0.3">
      <c r="A708" t="s">
        <v>40</v>
      </c>
      <c r="B708" t="s">
        <v>36</v>
      </c>
      <c r="C708" s="5">
        <v>1.2</v>
      </c>
      <c r="D708" s="7">
        <v>85</v>
      </c>
      <c r="E708" s="6">
        <v>8.14</v>
      </c>
      <c r="F708">
        <v>86</v>
      </c>
      <c r="G708" s="3">
        <v>45008.229166666664</v>
      </c>
      <c r="H708" s="3">
        <v>45008.288194444445</v>
      </c>
      <c r="I708" s="3">
        <v>45008.228472222225</v>
      </c>
      <c r="J708" s="3">
        <v>45008.287499999999</v>
      </c>
      <c r="K708" t="s">
        <v>16</v>
      </c>
      <c r="L708" t="s">
        <v>20</v>
      </c>
      <c r="M708" t="str">
        <f>VLOOKUP(Table1[[#This Row],[Job_Status]],$V$2:$W$4,2,FALSE)</f>
        <v>Good</v>
      </c>
      <c r="N708" s="7">
        <f>VLOOKUP(Table1[[#This Row],[Job_Status]],$V$2:$X$4,3,FALSE)</f>
        <v>0</v>
      </c>
    </row>
    <row r="709" spans="1:14" x14ac:dyDescent="0.3">
      <c r="A709" t="s">
        <v>22</v>
      </c>
      <c r="B709" t="s">
        <v>32</v>
      </c>
      <c r="C709" s="5">
        <v>4.7699999999999996</v>
      </c>
      <c r="D709" s="7">
        <v>41</v>
      </c>
      <c r="E709" s="6">
        <v>6.24</v>
      </c>
      <c r="F709">
        <v>95</v>
      </c>
      <c r="G709" s="3">
        <v>45008.236111111109</v>
      </c>
      <c r="H709" s="3">
        <v>45008.26458333333</v>
      </c>
      <c r="I709" s="3">
        <v>45008.244444444441</v>
      </c>
      <c r="J709" s="3">
        <v>45008.272916666669</v>
      </c>
      <c r="K709" t="s">
        <v>19</v>
      </c>
      <c r="L709" t="s">
        <v>20</v>
      </c>
      <c r="M709" t="str">
        <f>VLOOKUP(Table1[[#This Row],[Job_Status]],$V$2:$W$4,2,FALSE)</f>
        <v>Good</v>
      </c>
      <c r="N709" s="7">
        <f>VLOOKUP(Table1[[#This Row],[Job_Status]],$V$2:$X$4,3,FALSE)</f>
        <v>0</v>
      </c>
    </row>
    <row r="710" spans="1:14" x14ac:dyDescent="0.3">
      <c r="A710" t="s">
        <v>34</v>
      </c>
      <c r="B710" t="s">
        <v>27</v>
      </c>
      <c r="C710" s="5">
        <v>4.7300000000000004</v>
      </c>
      <c r="D710" s="7">
        <v>94</v>
      </c>
      <c r="E710" s="6">
        <v>6.32</v>
      </c>
      <c r="F710">
        <v>91</v>
      </c>
      <c r="G710" s="3">
        <v>45008.243055555555</v>
      </c>
      <c r="H710" s="3">
        <v>45008.308333333334</v>
      </c>
      <c r="I710" s="3">
        <v>45008.262499999997</v>
      </c>
      <c r="J710" s="3">
        <v>45008.327777777777</v>
      </c>
      <c r="K710" t="s">
        <v>19</v>
      </c>
      <c r="L710" t="s">
        <v>20</v>
      </c>
      <c r="M710" t="str">
        <f>VLOOKUP(Table1[[#This Row],[Job_Status]],$V$2:$W$4,2,FALSE)</f>
        <v>Good</v>
      </c>
      <c r="N710" s="7">
        <f>VLOOKUP(Table1[[#This Row],[Job_Status]],$V$2:$X$4,3,FALSE)</f>
        <v>0</v>
      </c>
    </row>
    <row r="711" spans="1:14" x14ac:dyDescent="0.3">
      <c r="A711" t="s">
        <v>22</v>
      </c>
      <c r="B711" t="s">
        <v>27</v>
      </c>
      <c r="C711" s="5">
        <v>4.37</v>
      </c>
      <c r="D711" s="7">
        <v>81</v>
      </c>
      <c r="E711" s="6">
        <v>13.22</v>
      </c>
      <c r="F711">
        <v>85</v>
      </c>
      <c r="G711" s="3">
        <v>45008.25</v>
      </c>
      <c r="H711" s="3">
        <v>45008.306250000001</v>
      </c>
      <c r="K711" t="s">
        <v>24</v>
      </c>
      <c r="L711" t="s">
        <v>20</v>
      </c>
      <c r="M711" t="str">
        <f>VLOOKUP(Table1[[#This Row],[Job_Status]],$V$2:$W$4,2,FALSE)</f>
        <v>Defect</v>
      </c>
      <c r="N711" s="7">
        <f>VLOOKUP(Table1[[#This Row],[Job_Status]],$V$2:$X$4,3,FALSE)</f>
        <v>100</v>
      </c>
    </row>
    <row r="712" spans="1:14" x14ac:dyDescent="0.3">
      <c r="A712" t="s">
        <v>30</v>
      </c>
      <c r="B712" t="s">
        <v>15</v>
      </c>
      <c r="C712" s="5">
        <v>1.76</v>
      </c>
      <c r="D712" s="7">
        <v>77</v>
      </c>
      <c r="E712" s="6">
        <v>12.33</v>
      </c>
      <c r="F712">
        <v>92</v>
      </c>
      <c r="G712" s="3">
        <v>45008.256944444445</v>
      </c>
      <c r="H712" s="3">
        <v>45008.310416666667</v>
      </c>
      <c r="I712" s="3">
        <v>45008.255555555559</v>
      </c>
      <c r="J712" s="3">
        <v>45008.309027777781</v>
      </c>
      <c r="K712" t="s">
        <v>16</v>
      </c>
      <c r="L712" t="s">
        <v>20</v>
      </c>
      <c r="M712" t="str">
        <f>VLOOKUP(Table1[[#This Row],[Job_Status]],$V$2:$W$4,2,FALSE)</f>
        <v>Good</v>
      </c>
      <c r="N712" s="7">
        <f>VLOOKUP(Table1[[#This Row],[Job_Status]],$V$2:$X$4,3,FALSE)</f>
        <v>0</v>
      </c>
    </row>
    <row r="713" spans="1:14" x14ac:dyDescent="0.3">
      <c r="A713" t="s">
        <v>22</v>
      </c>
      <c r="B713" t="s">
        <v>15</v>
      </c>
      <c r="C713" s="5">
        <v>2.54</v>
      </c>
      <c r="D713" s="7">
        <v>38</v>
      </c>
      <c r="E713" s="6">
        <v>11.54</v>
      </c>
      <c r="F713">
        <v>84</v>
      </c>
      <c r="G713" s="3">
        <v>45008.263888888891</v>
      </c>
      <c r="H713" s="3">
        <v>45008.290277777778</v>
      </c>
      <c r="I713" s="3">
        <v>45008.262499999997</v>
      </c>
      <c r="J713" s="3">
        <v>45008.288888888892</v>
      </c>
      <c r="K713" t="s">
        <v>16</v>
      </c>
      <c r="L713" t="s">
        <v>20</v>
      </c>
      <c r="M713" t="str">
        <f>VLOOKUP(Table1[[#This Row],[Job_Status]],$V$2:$W$4,2,FALSE)</f>
        <v>Good</v>
      </c>
      <c r="N713" s="7">
        <f>VLOOKUP(Table1[[#This Row],[Job_Status]],$V$2:$X$4,3,FALSE)</f>
        <v>0</v>
      </c>
    </row>
    <row r="714" spans="1:14" x14ac:dyDescent="0.3">
      <c r="A714" t="s">
        <v>40</v>
      </c>
      <c r="B714" t="s">
        <v>36</v>
      </c>
      <c r="C714" s="5">
        <v>1.35</v>
      </c>
      <c r="D714" s="7">
        <v>80</v>
      </c>
      <c r="E714" s="6">
        <v>12.83</v>
      </c>
      <c r="F714">
        <v>99</v>
      </c>
      <c r="G714" s="3">
        <v>45008.270833333336</v>
      </c>
      <c r="H714" s="3">
        <v>45008.326388888891</v>
      </c>
      <c r="I714" s="3">
        <v>45008.271527777775</v>
      </c>
      <c r="J714" s="3">
        <v>45008.32708333333</v>
      </c>
      <c r="K714" t="s">
        <v>16</v>
      </c>
      <c r="L714" t="s">
        <v>17</v>
      </c>
      <c r="M714" t="str">
        <f>VLOOKUP(Table1[[#This Row],[Job_Status]],$V$2:$W$4,2,FALSE)</f>
        <v>Good</v>
      </c>
      <c r="N714" s="7">
        <f>VLOOKUP(Table1[[#This Row],[Job_Status]],$V$2:$X$4,3,FALSE)</f>
        <v>0</v>
      </c>
    </row>
    <row r="715" spans="1:14" x14ac:dyDescent="0.3">
      <c r="A715" t="s">
        <v>34</v>
      </c>
      <c r="B715" t="s">
        <v>32</v>
      </c>
      <c r="C715" s="5">
        <v>2.52</v>
      </c>
      <c r="D715" s="7">
        <v>80</v>
      </c>
      <c r="E715" s="6">
        <v>13.55</v>
      </c>
      <c r="F715">
        <v>81</v>
      </c>
      <c r="G715" s="3">
        <v>45008.277777777781</v>
      </c>
      <c r="H715" s="3">
        <v>45008.333333333336</v>
      </c>
      <c r="K715" t="s">
        <v>24</v>
      </c>
      <c r="L715" t="s">
        <v>20</v>
      </c>
      <c r="M715" t="str">
        <f>VLOOKUP(Table1[[#This Row],[Job_Status]],$V$2:$W$4,2,FALSE)</f>
        <v>Defect</v>
      </c>
      <c r="N715" s="7">
        <f>VLOOKUP(Table1[[#This Row],[Job_Status]],$V$2:$X$4,3,FALSE)</f>
        <v>100</v>
      </c>
    </row>
    <row r="716" spans="1:14" x14ac:dyDescent="0.3">
      <c r="A716" t="s">
        <v>22</v>
      </c>
      <c r="B716" t="s">
        <v>32</v>
      </c>
      <c r="C716" s="5">
        <v>1.5</v>
      </c>
      <c r="D716" s="7">
        <v>42</v>
      </c>
      <c r="E716" s="6">
        <v>5.4</v>
      </c>
      <c r="F716">
        <v>91</v>
      </c>
      <c r="G716" s="3">
        <v>45008.284722222219</v>
      </c>
      <c r="H716" s="3">
        <v>45008.313888888886</v>
      </c>
      <c r="I716" s="3">
        <v>45008.301388888889</v>
      </c>
      <c r="J716" s="3">
        <v>45008.330555555556</v>
      </c>
      <c r="K716" t="s">
        <v>19</v>
      </c>
      <c r="L716" t="s">
        <v>20</v>
      </c>
      <c r="M716" t="str">
        <f>VLOOKUP(Table1[[#This Row],[Job_Status]],$V$2:$W$4,2,FALSE)</f>
        <v>Good</v>
      </c>
      <c r="N716" s="7">
        <f>VLOOKUP(Table1[[#This Row],[Job_Status]],$V$2:$X$4,3,FALSE)</f>
        <v>0</v>
      </c>
    </row>
    <row r="717" spans="1:14" x14ac:dyDescent="0.3">
      <c r="A717" t="s">
        <v>34</v>
      </c>
      <c r="B717" t="s">
        <v>27</v>
      </c>
      <c r="C717" s="5">
        <v>4.22</v>
      </c>
      <c r="D717" s="7">
        <v>51</v>
      </c>
      <c r="E717" s="6">
        <v>4.22</v>
      </c>
      <c r="F717">
        <v>80</v>
      </c>
      <c r="G717" s="3">
        <v>45008.291666666664</v>
      </c>
      <c r="H717" s="3">
        <v>45008.32708333333</v>
      </c>
      <c r="I717" s="3">
        <v>45008.293055555558</v>
      </c>
      <c r="J717" s="3">
        <v>45008.328472222223</v>
      </c>
      <c r="K717" t="s">
        <v>16</v>
      </c>
      <c r="L717" t="s">
        <v>28</v>
      </c>
      <c r="M717" t="str">
        <f>VLOOKUP(Table1[[#This Row],[Job_Status]],$V$2:$W$4,2,FALSE)</f>
        <v>Good</v>
      </c>
      <c r="N717" s="7">
        <f>VLOOKUP(Table1[[#This Row],[Job_Status]],$V$2:$X$4,3,FALSE)</f>
        <v>0</v>
      </c>
    </row>
    <row r="718" spans="1:14" x14ac:dyDescent="0.3">
      <c r="A718" t="s">
        <v>34</v>
      </c>
      <c r="B718" t="s">
        <v>23</v>
      </c>
      <c r="C718" s="5">
        <v>3.67</v>
      </c>
      <c r="D718" s="7">
        <v>27</v>
      </c>
      <c r="E718" s="6">
        <v>3.19</v>
      </c>
      <c r="F718">
        <v>85</v>
      </c>
      <c r="G718" s="3">
        <v>45008.298611111109</v>
      </c>
      <c r="H718" s="3">
        <v>45008.317361111112</v>
      </c>
      <c r="I718" s="3">
        <v>45008.301388888889</v>
      </c>
      <c r="J718" s="3">
        <v>45008.320138888892</v>
      </c>
      <c r="K718" t="s">
        <v>16</v>
      </c>
      <c r="L718" t="s">
        <v>28</v>
      </c>
      <c r="M718" t="str">
        <f>VLOOKUP(Table1[[#This Row],[Job_Status]],$V$2:$W$4,2,FALSE)</f>
        <v>Good</v>
      </c>
      <c r="N718" s="7">
        <f>VLOOKUP(Table1[[#This Row],[Job_Status]],$V$2:$X$4,3,FALSE)</f>
        <v>0</v>
      </c>
    </row>
    <row r="719" spans="1:14" x14ac:dyDescent="0.3">
      <c r="A719" t="s">
        <v>30</v>
      </c>
      <c r="B719" t="s">
        <v>36</v>
      </c>
      <c r="C719" s="5">
        <v>3.22</v>
      </c>
      <c r="D719" s="7">
        <v>96</v>
      </c>
      <c r="E719" s="6">
        <v>4.28</v>
      </c>
      <c r="F719">
        <v>80</v>
      </c>
      <c r="G719" s="3">
        <v>45008.305555555555</v>
      </c>
      <c r="H719" s="3">
        <v>45008.37222222222</v>
      </c>
      <c r="K719" t="s">
        <v>24</v>
      </c>
      <c r="L719" t="s">
        <v>20</v>
      </c>
      <c r="M719" t="str">
        <f>VLOOKUP(Table1[[#This Row],[Job_Status]],$V$2:$W$4,2,FALSE)</f>
        <v>Defect</v>
      </c>
      <c r="N719" s="7">
        <f>VLOOKUP(Table1[[#This Row],[Job_Status]],$V$2:$X$4,3,FALSE)</f>
        <v>100</v>
      </c>
    </row>
    <row r="720" spans="1:14" x14ac:dyDescent="0.3">
      <c r="A720" t="s">
        <v>22</v>
      </c>
      <c r="B720" t="s">
        <v>23</v>
      </c>
      <c r="C720" s="5">
        <v>1.79</v>
      </c>
      <c r="D720" s="7">
        <v>101</v>
      </c>
      <c r="E720" s="6">
        <v>5.32</v>
      </c>
      <c r="F720">
        <v>80</v>
      </c>
      <c r="G720" s="3">
        <v>45008.3125</v>
      </c>
      <c r="H720" s="3">
        <v>45008.382638888892</v>
      </c>
      <c r="I720" s="3">
        <v>45008.313194444447</v>
      </c>
      <c r="J720" s="3">
        <v>45008.383333333331</v>
      </c>
      <c r="K720" t="s">
        <v>16</v>
      </c>
      <c r="L720" t="s">
        <v>28</v>
      </c>
      <c r="M720" t="str">
        <f>VLOOKUP(Table1[[#This Row],[Job_Status]],$V$2:$W$4,2,FALSE)</f>
        <v>Good</v>
      </c>
      <c r="N720" s="7">
        <f>VLOOKUP(Table1[[#This Row],[Job_Status]],$V$2:$X$4,3,FALSE)</f>
        <v>0</v>
      </c>
    </row>
    <row r="721" spans="1:14" x14ac:dyDescent="0.3">
      <c r="A721" t="s">
        <v>22</v>
      </c>
      <c r="B721" t="s">
        <v>32</v>
      </c>
      <c r="C721" s="5">
        <v>3.19</v>
      </c>
      <c r="D721" s="7">
        <v>92</v>
      </c>
      <c r="E721" s="6">
        <v>4.96</v>
      </c>
      <c r="F721">
        <v>85</v>
      </c>
      <c r="G721" s="3">
        <v>45008.319444444445</v>
      </c>
      <c r="H721" s="3">
        <v>45008.383333333331</v>
      </c>
      <c r="I721" s="3">
        <v>45008.320138888892</v>
      </c>
      <c r="J721" s="3">
        <v>45008.384027777778</v>
      </c>
      <c r="K721" t="s">
        <v>16</v>
      </c>
      <c r="L721" t="s">
        <v>28</v>
      </c>
      <c r="M721" t="str">
        <f>VLOOKUP(Table1[[#This Row],[Job_Status]],$V$2:$W$4,2,FALSE)</f>
        <v>Good</v>
      </c>
      <c r="N721" s="7">
        <f>VLOOKUP(Table1[[#This Row],[Job_Status]],$V$2:$X$4,3,FALSE)</f>
        <v>0</v>
      </c>
    </row>
    <row r="722" spans="1:14" x14ac:dyDescent="0.3">
      <c r="A722" t="s">
        <v>14</v>
      </c>
      <c r="B722" t="s">
        <v>23</v>
      </c>
      <c r="C722" s="5">
        <v>1.24</v>
      </c>
      <c r="D722" s="7">
        <v>91</v>
      </c>
      <c r="E722" s="6">
        <v>2.78</v>
      </c>
      <c r="F722">
        <v>86</v>
      </c>
      <c r="G722" s="3">
        <v>45008.326388888891</v>
      </c>
      <c r="H722" s="3">
        <v>45008.38958333333</v>
      </c>
      <c r="I722" s="3">
        <v>45008.324999999997</v>
      </c>
      <c r="J722" s="3">
        <v>45008.388194444444</v>
      </c>
      <c r="K722" t="s">
        <v>16</v>
      </c>
      <c r="L722" t="s">
        <v>20</v>
      </c>
      <c r="M722" t="str">
        <f>VLOOKUP(Table1[[#This Row],[Job_Status]],$V$2:$W$4,2,FALSE)</f>
        <v>Good</v>
      </c>
      <c r="N722" s="7">
        <f>VLOOKUP(Table1[[#This Row],[Job_Status]],$V$2:$X$4,3,FALSE)</f>
        <v>0</v>
      </c>
    </row>
    <row r="723" spans="1:14" x14ac:dyDescent="0.3">
      <c r="A723" t="s">
        <v>30</v>
      </c>
      <c r="B723" t="s">
        <v>27</v>
      </c>
      <c r="C723" s="5">
        <v>3.07</v>
      </c>
      <c r="D723" s="7">
        <v>66</v>
      </c>
      <c r="E723" s="6">
        <v>7.93</v>
      </c>
      <c r="F723">
        <v>94</v>
      </c>
      <c r="G723" s="3">
        <v>45008.333333333336</v>
      </c>
      <c r="H723" s="3">
        <v>45008.379166666666</v>
      </c>
      <c r="I723" s="3">
        <v>45008.350694444445</v>
      </c>
      <c r="J723" s="3">
        <v>45008.396527777775</v>
      </c>
      <c r="K723" t="s">
        <v>19</v>
      </c>
      <c r="L723" t="s">
        <v>20</v>
      </c>
      <c r="M723" t="str">
        <f>VLOOKUP(Table1[[#This Row],[Job_Status]],$V$2:$W$4,2,FALSE)</f>
        <v>Good</v>
      </c>
      <c r="N723" s="7">
        <f>VLOOKUP(Table1[[#This Row],[Job_Status]],$V$2:$X$4,3,FALSE)</f>
        <v>0</v>
      </c>
    </row>
    <row r="724" spans="1:14" x14ac:dyDescent="0.3">
      <c r="A724" t="s">
        <v>22</v>
      </c>
      <c r="B724" t="s">
        <v>36</v>
      </c>
      <c r="C724" s="5">
        <v>2.4300000000000002</v>
      </c>
      <c r="D724" s="7">
        <v>40</v>
      </c>
      <c r="E724" s="6">
        <v>14.48</v>
      </c>
      <c r="F724">
        <v>80</v>
      </c>
      <c r="G724" s="3">
        <v>45008.340277777781</v>
      </c>
      <c r="H724" s="3">
        <v>45008.368055555555</v>
      </c>
      <c r="I724" s="3">
        <v>45008.34375</v>
      </c>
      <c r="J724" s="3">
        <v>45008.371527777781</v>
      </c>
      <c r="K724" t="s">
        <v>16</v>
      </c>
      <c r="L724" t="s">
        <v>17</v>
      </c>
      <c r="M724" t="str">
        <f>VLOOKUP(Table1[[#This Row],[Job_Status]],$V$2:$W$4,2,FALSE)</f>
        <v>Good</v>
      </c>
      <c r="N724" s="7">
        <f>VLOOKUP(Table1[[#This Row],[Job_Status]],$V$2:$X$4,3,FALSE)</f>
        <v>0</v>
      </c>
    </row>
    <row r="725" spans="1:14" x14ac:dyDescent="0.3">
      <c r="A725" t="s">
        <v>22</v>
      </c>
      <c r="B725" t="s">
        <v>27</v>
      </c>
      <c r="C725" s="5">
        <v>2.2000000000000002</v>
      </c>
      <c r="D725" s="7">
        <v>119</v>
      </c>
      <c r="E725" s="6">
        <v>4.5599999999999996</v>
      </c>
      <c r="F725">
        <v>81</v>
      </c>
      <c r="G725" s="3">
        <v>45008.347222222219</v>
      </c>
      <c r="H725" s="3">
        <v>45008.429861111108</v>
      </c>
      <c r="K725" t="s">
        <v>24</v>
      </c>
      <c r="L725" t="s">
        <v>20</v>
      </c>
      <c r="M725" t="str">
        <f>VLOOKUP(Table1[[#This Row],[Job_Status]],$V$2:$W$4,2,FALSE)</f>
        <v>Defect</v>
      </c>
      <c r="N725" s="7">
        <f>VLOOKUP(Table1[[#This Row],[Job_Status]],$V$2:$X$4,3,FALSE)</f>
        <v>100</v>
      </c>
    </row>
    <row r="726" spans="1:14" x14ac:dyDescent="0.3">
      <c r="A726" t="s">
        <v>14</v>
      </c>
      <c r="B726" t="s">
        <v>23</v>
      </c>
      <c r="C726" s="5">
        <v>2.69</v>
      </c>
      <c r="D726" s="7">
        <v>32</v>
      </c>
      <c r="E726" s="6">
        <v>9.08</v>
      </c>
      <c r="F726">
        <v>97</v>
      </c>
      <c r="G726" s="3">
        <v>45008.354166666664</v>
      </c>
      <c r="H726" s="3">
        <v>45008.376388888886</v>
      </c>
      <c r="I726" s="3">
        <v>45008.355555555558</v>
      </c>
      <c r="J726" s="3">
        <v>45008.37777777778</v>
      </c>
      <c r="K726" t="s">
        <v>16</v>
      </c>
      <c r="L726" t="s">
        <v>17</v>
      </c>
      <c r="M726" t="str">
        <f>VLOOKUP(Table1[[#This Row],[Job_Status]],$V$2:$W$4,2,FALSE)</f>
        <v>Good</v>
      </c>
      <c r="N726" s="7">
        <f>VLOOKUP(Table1[[#This Row],[Job_Status]],$V$2:$X$4,3,FALSE)</f>
        <v>0</v>
      </c>
    </row>
    <row r="727" spans="1:14" x14ac:dyDescent="0.3">
      <c r="A727" t="s">
        <v>22</v>
      </c>
      <c r="B727" t="s">
        <v>27</v>
      </c>
      <c r="C727" s="5">
        <v>4.78</v>
      </c>
      <c r="D727" s="7">
        <v>117</v>
      </c>
      <c r="E727" s="6">
        <v>12.68</v>
      </c>
      <c r="F727">
        <v>87</v>
      </c>
      <c r="G727" s="3">
        <v>45008.361111111109</v>
      </c>
      <c r="H727" s="3">
        <v>45008.442361111112</v>
      </c>
      <c r="I727" s="3">
        <v>45008.36041666667</v>
      </c>
      <c r="J727" s="3">
        <v>45008.441666666666</v>
      </c>
      <c r="K727" t="s">
        <v>16</v>
      </c>
      <c r="L727" t="s">
        <v>20</v>
      </c>
      <c r="M727" t="str">
        <f>VLOOKUP(Table1[[#This Row],[Job_Status]],$V$2:$W$4,2,FALSE)</f>
        <v>Good</v>
      </c>
      <c r="N727" s="7">
        <f>VLOOKUP(Table1[[#This Row],[Job_Status]],$V$2:$X$4,3,FALSE)</f>
        <v>0</v>
      </c>
    </row>
    <row r="728" spans="1:14" x14ac:dyDescent="0.3">
      <c r="A728" t="s">
        <v>34</v>
      </c>
      <c r="B728" t="s">
        <v>15</v>
      </c>
      <c r="C728" s="5">
        <v>1.51</v>
      </c>
      <c r="D728" s="7">
        <v>117</v>
      </c>
      <c r="E728" s="6">
        <v>5.72</v>
      </c>
      <c r="F728">
        <v>90</v>
      </c>
      <c r="G728" s="3">
        <v>45008.368055555555</v>
      </c>
      <c r="H728" s="3">
        <v>45008.449305555558</v>
      </c>
      <c r="K728" t="s">
        <v>24</v>
      </c>
      <c r="L728" t="s">
        <v>20</v>
      </c>
      <c r="M728" t="str">
        <f>VLOOKUP(Table1[[#This Row],[Job_Status]],$V$2:$W$4,2,FALSE)</f>
        <v>Defect</v>
      </c>
      <c r="N728" s="7">
        <f>VLOOKUP(Table1[[#This Row],[Job_Status]],$V$2:$X$4,3,FALSE)</f>
        <v>100</v>
      </c>
    </row>
    <row r="729" spans="1:14" x14ac:dyDescent="0.3">
      <c r="A729" t="s">
        <v>14</v>
      </c>
      <c r="B729" t="s">
        <v>15</v>
      </c>
      <c r="C729" s="5">
        <v>2.08</v>
      </c>
      <c r="D729" s="7">
        <v>30</v>
      </c>
      <c r="E729" s="6">
        <v>12.34</v>
      </c>
      <c r="F729">
        <v>84</v>
      </c>
      <c r="G729" s="3">
        <v>45008.375</v>
      </c>
      <c r="H729" s="3">
        <v>45008.395833333336</v>
      </c>
      <c r="I729" s="3">
        <v>45008.382638888892</v>
      </c>
      <c r="J729" s="3">
        <v>45008.40347222222</v>
      </c>
      <c r="K729" t="s">
        <v>19</v>
      </c>
      <c r="L729" t="s">
        <v>20</v>
      </c>
      <c r="M729" t="str">
        <f>VLOOKUP(Table1[[#This Row],[Job_Status]],$V$2:$W$4,2,FALSE)</f>
        <v>Good</v>
      </c>
      <c r="N729" s="7">
        <f>VLOOKUP(Table1[[#This Row],[Job_Status]],$V$2:$X$4,3,FALSE)</f>
        <v>0</v>
      </c>
    </row>
    <row r="730" spans="1:14" x14ac:dyDescent="0.3">
      <c r="A730" t="s">
        <v>40</v>
      </c>
      <c r="B730" t="s">
        <v>23</v>
      </c>
      <c r="C730" s="5">
        <v>4.4800000000000004</v>
      </c>
      <c r="D730" s="7">
        <v>67</v>
      </c>
      <c r="E730" s="6">
        <v>6.24</v>
      </c>
      <c r="F730">
        <v>94</v>
      </c>
      <c r="G730" s="3">
        <v>45008.381944444445</v>
      </c>
      <c r="H730" s="3">
        <v>45008.428472222222</v>
      </c>
      <c r="I730" s="3">
        <v>45008.398611111108</v>
      </c>
      <c r="J730" s="3">
        <v>45008.445138888892</v>
      </c>
      <c r="K730" t="s">
        <v>19</v>
      </c>
      <c r="L730" t="s">
        <v>20</v>
      </c>
      <c r="M730" t="str">
        <f>VLOOKUP(Table1[[#This Row],[Job_Status]],$V$2:$W$4,2,FALSE)</f>
        <v>Good</v>
      </c>
      <c r="N730" s="7">
        <f>VLOOKUP(Table1[[#This Row],[Job_Status]],$V$2:$X$4,3,FALSE)</f>
        <v>0</v>
      </c>
    </row>
    <row r="731" spans="1:14" x14ac:dyDescent="0.3">
      <c r="A731" t="s">
        <v>22</v>
      </c>
      <c r="B731" t="s">
        <v>27</v>
      </c>
      <c r="C731" s="5">
        <v>4.22</v>
      </c>
      <c r="D731" s="7">
        <v>49</v>
      </c>
      <c r="E731" s="6">
        <v>4.45</v>
      </c>
      <c r="F731">
        <v>96</v>
      </c>
      <c r="G731" s="3">
        <v>45008.388888888891</v>
      </c>
      <c r="H731" s="3">
        <v>45008.42291666667</v>
      </c>
      <c r="I731" s="3">
        <v>45008.407638888886</v>
      </c>
      <c r="J731" s="3">
        <v>45008.441666666666</v>
      </c>
      <c r="K731" t="s">
        <v>19</v>
      </c>
      <c r="L731" t="s">
        <v>20</v>
      </c>
      <c r="M731" t="str">
        <f>VLOOKUP(Table1[[#This Row],[Job_Status]],$V$2:$W$4,2,FALSE)</f>
        <v>Good</v>
      </c>
      <c r="N731" s="7">
        <f>VLOOKUP(Table1[[#This Row],[Job_Status]],$V$2:$X$4,3,FALSE)</f>
        <v>0</v>
      </c>
    </row>
    <row r="732" spans="1:14" x14ac:dyDescent="0.3">
      <c r="A732" t="s">
        <v>30</v>
      </c>
      <c r="B732" t="s">
        <v>23</v>
      </c>
      <c r="C732" s="5">
        <v>4.63</v>
      </c>
      <c r="D732" s="7">
        <v>119</v>
      </c>
      <c r="E732" s="6">
        <v>2.06</v>
      </c>
      <c r="F732">
        <v>97</v>
      </c>
      <c r="G732" s="3">
        <v>45008.395833333336</v>
      </c>
      <c r="H732" s="3">
        <v>45008.478472222225</v>
      </c>
      <c r="I732" s="3">
        <v>45008.393750000003</v>
      </c>
      <c r="J732" s="3">
        <v>45008.476388888892</v>
      </c>
      <c r="K732" t="s">
        <v>16</v>
      </c>
      <c r="L732" t="s">
        <v>20</v>
      </c>
      <c r="M732" t="str">
        <f>VLOOKUP(Table1[[#This Row],[Job_Status]],$V$2:$W$4,2,FALSE)</f>
        <v>Good</v>
      </c>
      <c r="N732" s="7">
        <f>VLOOKUP(Table1[[#This Row],[Job_Status]],$V$2:$X$4,3,FALSE)</f>
        <v>0</v>
      </c>
    </row>
    <row r="733" spans="1:14" x14ac:dyDescent="0.3">
      <c r="A733" t="s">
        <v>30</v>
      </c>
      <c r="B733" t="s">
        <v>23</v>
      </c>
      <c r="C733" s="5">
        <v>2.94</v>
      </c>
      <c r="D733" s="7">
        <v>115</v>
      </c>
      <c r="E733" s="6">
        <v>13.99</v>
      </c>
      <c r="F733">
        <v>97</v>
      </c>
      <c r="G733" s="3">
        <v>45008.402777777781</v>
      </c>
      <c r="H733" s="3">
        <v>45008.482638888891</v>
      </c>
      <c r="I733" s="3">
        <v>45008.401388888888</v>
      </c>
      <c r="J733" s="3">
        <v>45008.481249999997</v>
      </c>
      <c r="K733" t="s">
        <v>16</v>
      </c>
      <c r="L733" t="s">
        <v>20</v>
      </c>
      <c r="M733" t="str">
        <f>VLOOKUP(Table1[[#This Row],[Job_Status]],$V$2:$W$4,2,FALSE)</f>
        <v>Good</v>
      </c>
      <c r="N733" s="7">
        <f>VLOOKUP(Table1[[#This Row],[Job_Status]],$V$2:$X$4,3,FALSE)</f>
        <v>0</v>
      </c>
    </row>
    <row r="734" spans="1:14" x14ac:dyDescent="0.3">
      <c r="A734" t="s">
        <v>22</v>
      </c>
      <c r="B734" t="s">
        <v>36</v>
      </c>
      <c r="C734" s="5">
        <v>2.0699999999999998</v>
      </c>
      <c r="D734" s="7">
        <v>31</v>
      </c>
      <c r="E734" s="6">
        <v>2.33</v>
      </c>
      <c r="F734">
        <v>82</v>
      </c>
      <c r="G734" s="3">
        <v>45008.409722222219</v>
      </c>
      <c r="H734" s="3">
        <v>45008.431250000001</v>
      </c>
      <c r="I734" s="3">
        <v>45008.407638888886</v>
      </c>
      <c r="J734" s="3">
        <v>45008.429166666669</v>
      </c>
      <c r="K734" t="s">
        <v>16</v>
      </c>
      <c r="L734" t="s">
        <v>20</v>
      </c>
      <c r="M734" t="str">
        <f>VLOOKUP(Table1[[#This Row],[Job_Status]],$V$2:$W$4,2,FALSE)</f>
        <v>Good</v>
      </c>
      <c r="N734" s="7">
        <f>VLOOKUP(Table1[[#This Row],[Job_Status]],$V$2:$X$4,3,FALSE)</f>
        <v>0</v>
      </c>
    </row>
    <row r="735" spans="1:14" x14ac:dyDescent="0.3">
      <c r="A735" t="s">
        <v>30</v>
      </c>
      <c r="B735" t="s">
        <v>27</v>
      </c>
      <c r="C735" s="5">
        <v>4.0199999999999996</v>
      </c>
      <c r="D735" s="7">
        <v>82</v>
      </c>
      <c r="E735" s="6">
        <v>6.14</v>
      </c>
      <c r="F735">
        <v>81</v>
      </c>
      <c r="G735" s="3">
        <v>45008.416666666664</v>
      </c>
      <c r="H735" s="3">
        <v>45008.473611111112</v>
      </c>
      <c r="I735" s="3">
        <v>45008.413888888892</v>
      </c>
      <c r="J735" s="3">
        <v>45008.470833333333</v>
      </c>
      <c r="K735" t="s">
        <v>16</v>
      </c>
      <c r="L735" t="s">
        <v>20</v>
      </c>
      <c r="M735" t="str">
        <f>VLOOKUP(Table1[[#This Row],[Job_Status]],$V$2:$W$4,2,FALSE)</f>
        <v>Good</v>
      </c>
      <c r="N735" s="7">
        <f>VLOOKUP(Table1[[#This Row],[Job_Status]],$V$2:$X$4,3,FALSE)</f>
        <v>0</v>
      </c>
    </row>
    <row r="736" spans="1:14" x14ac:dyDescent="0.3">
      <c r="A736" t="s">
        <v>30</v>
      </c>
      <c r="B736" t="s">
        <v>27</v>
      </c>
      <c r="C736" s="5">
        <v>4.08</v>
      </c>
      <c r="D736" s="7">
        <v>71</v>
      </c>
      <c r="E736" s="6">
        <v>8.52</v>
      </c>
      <c r="F736">
        <v>82</v>
      </c>
      <c r="G736" s="3">
        <v>45008.423611111109</v>
      </c>
      <c r="H736" s="3">
        <v>45008.472916666666</v>
      </c>
      <c r="I736" s="3">
        <v>45008.442361111112</v>
      </c>
      <c r="J736" s="3">
        <v>45008.491666666669</v>
      </c>
      <c r="K736" t="s">
        <v>19</v>
      </c>
      <c r="L736" t="s">
        <v>20</v>
      </c>
      <c r="M736" t="str">
        <f>VLOOKUP(Table1[[#This Row],[Job_Status]],$V$2:$W$4,2,FALSE)</f>
        <v>Good</v>
      </c>
      <c r="N736" s="7">
        <f>VLOOKUP(Table1[[#This Row],[Job_Status]],$V$2:$X$4,3,FALSE)</f>
        <v>0</v>
      </c>
    </row>
    <row r="737" spans="1:14" x14ac:dyDescent="0.3">
      <c r="A737" t="s">
        <v>14</v>
      </c>
      <c r="B737" t="s">
        <v>32</v>
      </c>
      <c r="C737" s="5">
        <v>4.41</v>
      </c>
      <c r="D737" s="7">
        <v>54</v>
      </c>
      <c r="E737" s="6">
        <v>6.6</v>
      </c>
      <c r="F737">
        <v>84</v>
      </c>
      <c r="G737" s="3">
        <v>45008.430555555555</v>
      </c>
      <c r="H737" s="3">
        <v>45008.468055555553</v>
      </c>
      <c r="I737" s="3">
        <v>45008.427777777775</v>
      </c>
      <c r="J737" s="3">
        <v>45008.465277777781</v>
      </c>
      <c r="K737" t="s">
        <v>16</v>
      </c>
      <c r="L737" t="s">
        <v>20</v>
      </c>
      <c r="M737" t="str">
        <f>VLOOKUP(Table1[[#This Row],[Job_Status]],$V$2:$W$4,2,FALSE)</f>
        <v>Good</v>
      </c>
      <c r="N737" s="7">
        <f>VLOOKUP(Table1[[#This Row],[Job_Status]],$V$2:$X$4,3,FALSE)</f>
        <v>0</v>
      </c>
    </row>
    <row r="738" spans="1:14" x14ac:dyDescent="0.3">
      <c r="A738" t="s">
        <v>34</v>
      </c>
      <c r="B738" t="s">
        <v>15</v>
      </c>
      <c r="C738" s="5">
        <v>2.13</v>
      </c>
      <c r="D738" s="7">
        <v>27</v>
      </c>
      <c r="E738" s="6">
        <v>6.99</v>
      </c>
      <c r="F738">
        <v>94</v>
      </c>
      <c r="G738" s="3">
        <v>45008.4375</v>
      </c>
      <c r="H738" s="3">
        <v>45008.456250000003</v>
      </c>
      <c r="I738" s="3">
        <v>45008.436805555553</v>
      </c>
      <c r="J738" s="3">
        <v>45008.455555555556</v>
      </c>
      <c r="K738" t="s">
        <v>16</v>
      </c>
      <c r="L738" t="s">
        <v>20</v>
      </c>
      <c r="M738" t="str">
        <f>VLOOKUP(Table1[[#This Row],[Job_Status]],$V$2:$W$4,2,FALSE)</f>
        <v>Good</v>
      </c>
      <c r="N738" s="7">
        <f>VLOOKUP(Table1[[#This Row],[Job_Status]],$V$2:$X$4,3,FALSE)</f>
        <v>0</v>
      </c>
    </row>
    <row r="739" spans="1:14" x14ac:dyDescent="0.3">
      <c r="A739" t="s">
        <v>34</v>
      </c>
      <c r="B739" t="s">
        <v>27</v>
      </c>
      <c r="C739" s="5">
        <v>2.04</v>
      </c>
      <c r="D739" s="7">
        <v>20</v>
      </c>
      <c r="E739" s="6">
        <v>10.93</v>
      </c>
      <c r="F739">
        <v>87</v>
      </c>
      <c r="G739" s="3">
        <v>45008.444444444445</v>
      </c>
      <c r="H739" s="3">
        <v>45008.458333333336</v>
      </c>
      <c r="I739" s="3">
        <v>45008.443055555559</v>
      </c>
      <c r="J739" s="3">
        <v>45008.456944444442</v>
      </c>
      <c r="K739" t="s">
        <v>16</v>
      </c>
      <c r="L739" t="s">
        <v>20</v>
      </c>
      <c r="M739" t="str">
        <f>VLOOKUP(Table1[[#This Row],[Job_Status]],$V$2:$W$4,2,FALSE)</f>
        <v>Good</v>
      </c>
      <c r="N739" s="7">
        <f>VLOOKUP(Table1[[#This Row],[Job_Status]],$V$2:$X$4,3,FALSE)</f>
        <v>0</v>
      </c>
    </row>
    <row r="740" spans="1:14" x14ac:dyDescent="0.3">
      <c r="A740" t="s">
        <v>14</v>
      </c>
      <c r="B740" t="s">
        <v>23</v>
      </c>
      <c r="C740" s="5">
        <v>2.97</v>
      </c>
      <c r="D740" s="7">
        <v>74</v>
      </c>
      <c r="E740" s="6">
        <v>14.94</v>
      </c>
      <c r="F740">
        <v>85</v>
      </c>
      <c r="G740" s="3">
        <v>45008.451388888891</v>
      </c>
      <c r="H740" s="3">
        <v>45008.50277777778</v>
      </c>
      <c r="K740" t="s">
        <v>24</v>
      </c>
      <c r="L740" t="s">
        <v>20</v>
      </c>
      <c r="M740" t="str">
        <f>VLOOKUP(Table1[[#This Row],[Job_Status]],$V$2:$W$4,2,FALSE)</f>
        <v>Defect</v>
      </c>
      <c r="N740" s="7">
        <f>VLOOKUP(Table1[[#This Row],[Job_Status]],$V$2:$X$4,3,FALSE)</f>
        <v>100</v>
      </c>
    </row>
    <row r="741" spans="1:14" x14ac:dyDescent="0.3">
      <c r="A741" t="s">
        <v>22</v>
      </c>
      <c r="B741" t="s">
        <v>23</v>
      </c>
      <c r="C741" s="5">
        <v>2.11</v>
      </c>
      <c r="D741" s="7">
        <v>98</v>
      </c>
      <c r="E741" s="6">
        <v>11.77</v>
      </c>
      <c r="F741">
        <v>97</v>
      </c>
      <c r="G741" s="3">
        <v>45008.458333333336</v>
      </c>
      <c r="H741" s="3">
        <v>45008.526388888888</v>
      </c>
      <c r="I741" s="3">
        <v>45008.455555555556</v>
      </c>
      <c r="J741" s="3">
        <v>45008.523611111108</v>
      </c>
      <c r="K741" t="s">
        <v>16</v>
      </c>
      <c r="L741" t="s">
        <v>20</v>
      </c>
      <c r="M741" t="str">
        <f>VLOOKUP(Table1[[#This Row],[Job_Status]],$V$2:$W$4,2,FALSE)</f>
        <v>Good</v>
      </c>
      <c r="N741" s="7">
        <f>VLOOKUP(Table1[[#This Row],[Job_Status]],$V$2:$X$4,3,FALSE)</f>
        <v>0</v>
      </c>
    </row>
    <row r="742" spans="1:14" x14ac:dyDescent="0.3">
      <c r="A742" t="s">
        <v>14</v>
      </c>
      <c r="B742" t="s">
        <v>23</v>
      </c>
      <c r="C742" s="5">
        <v>4.5999999999999996</v>
      </c>
      <c r="D742" s="7">
        <v>58</v>
      </c>
      <c r="E742" s="6">
        <v>11.98</v>
      </c>
      <c r="F742">
        <v>94</v>
      </c>
      <c r="G742" s="3">
        <v>45008.465277777781</v>
      </c>
      <c r="H742" s="3">
        <v>45008.505555555559</v>
      </c>
      <c r="I742" s="3">
        <v>45008.466666666667</v>
      </c>
      <c r="J742" s="3">
        <v>45008.506944444445</v>
      </c>
      <c r="K742" t="s">
        <v>16</v>
      </c>
      <c r="L742" t="s">
        <v>17</v>
      </c>
      <c r="M742" t="str">
        <f>VLOOKUP(Table1[[#This Row],[Job_Status]],$V$2:$W$4,2,FALSE)</f>
        <v>Good</v>
      </c>
      <c r="N742" s="7">
        <f>VLOOKUP(Table1[[#This Row],[Job_Status]],$V$2:$X$4,3,FALSE)</f>
        <v>0</v>
      </c>
    </row>
    <row r="743" spans="1:14" x14ac:dyDescent="0.3">
      <c r="A743" t="s">
        <v>14</v>
      </c>
      <c r="B743" t="s">
        <v>36</v>
      </c>
      <c r="C743" s="5">
        <v>3.46</v>
      </c>
      <c r="D743" s="7">
        <v>38</v>
      </c>
      <c r="E743" s="6">
        <v>12.99</v>
      </c>
      <c r="F743">
        <v>93</v>
      </c>
      <c r="G743" s="3">
        <v>45008.472222222219</v>
      </c>
      <c r="H743" s="3">
        <v>45008.498611111114</v>
      </c>
      <c r="K743" t="s">
        <v>24</v>
      </c>
      <c r="L743" t="s">
        <v>20</v>
      </c>
      <c r="M743" t="str">
        <f>VLOOKUP(Table1[[#This Row],[Job_Status]],$V$2:$W$4,2,FALSE)</f>
        <v>Defect</v>
      </c>
      <c r="N743" s="7">
        <f>VLOOKUP(Table1[[#This Row],[Job_Status]],$V$2:$X$4,3,FALSE)</f>
        <v>100</v>
      </c>
    </row>
    <row r="744" spans="1:14" x14ac:dyDescent="0.3">
      <c r="A744" t="s">
        <v>14</v>
      </c>
      <c r="B744" t="s">
        <v>23</v>
      </c>
      <c r="C744" s="5">
        <v>1.17</v>
      </c>
      <c r="D744" s="7">
        <v>75</v>
      </c>
      <c r="E744" s="6">
        <v>12.89</v>
      </c>
      <c r="F744">
        <v>84</v>
      </c>
      <c r="G744" s="3">
        <v>45008.479166666664</v>
      </c>
      <c r="H744" s="3">
        <v>45008.53125</v>
      </c>
      <c r="I744" s="3">
        <v>45008.479861111111</v>
      </c>
      <c r="J744" s="3">
        <v>45008.531944444447</v>
      </c>
      <c r="K744" t="s">
        <v>16</v>
      </c>
      <c r="L744" t="s">
        <v>17</v>
      </c>
      <c r="M744" t="str">
        <f>VLOOKUP(Table1[[#This Row],[Job_Status]],$V$2:$W$4,2,FALSE)</f>
        <v>Good</v>
      </c>
      <c r="N744" s="7">
        <f>VLOOKUP(Table1[[#This Row],[Job_Status]],$V$2:$X$4,3,FALSE)</f>
        <v>0</v>
      </c>
    </row>
    <row r="745" spans="1:14" x14ac:dyDescent="0.3">
      <c r="A745" t="s">
        <v>22</v>
      </c>
      <c r="B745" t="s">
        <v>36</v>
      </c>
      <c r="C745" s="5">
        <v>2.52</v>
      </c>
      <c r="D745" s="7">
        <v>53</v>
      </c>
      <c r="E745" s="6">
        <v>6.9</v>
      </c>
      <c r="F745">
        <v>87</v>
      </c>
      <c r="G745" s="3">
        <v>45008.486111111109</v>
      </c>
      <c r="H745" s="3">
        <v>45008.522916666669</v>
      </c>
      <c r="K745" t="s">
        <v>24</v>
      </c>
      <c r="L745" t="s">
        <v>20</v>
      </c>
      <c r="M745" t="str">
        <f>VLOOKUP(Table1[[#This Row],[Job_Status]],$V$2:$W$4,2,FALSE)</f>
        <v>Defect</v>
      </c>
      <c r="N745" s="7">
        <f>VLOOKUP(Table1[[#This Row],[Job_Status]],$V$2:$X$4,3,FALSE)</f>
        <v>100</v>
      </c>
    </row>
    <row r="746" spans="1:14" x14ac:dyDescent="0.3">
      <c r="A746" t="s">
        <v>30</v>
      </c>
      <c r="B746" t="s">
        <v>27</v>
      </c>
      <c r="C746" s="5">
        <v>3.2</v>
      </c>
      <c r="D746" s="7">
        <v>98</v>
      </c>
      <c r="E746" s="6">
        <v>7.96</v>
      </c>
      <c r="F746">
        <v>86</v>
      </c>
      <c r="G746" s="3">
        <v>45008.493055555555</v>
      </c>
      <c r="H746" s="3">
        <v>45008.561111111114</v>
      </c>
      <c r="I746" s="3">
        <v>45008.495138888888</v>
      </c>
      <c r="J746" s="3">
        <v>45008.563194444447</v>
      </c>
      <c r="K746" t="s">
        <v>16</v>
      </c>
      <c r="L746" t="s">
        <v>28</v>
      </c>
      <c r="M746" t="str">
        <f>VLOOKUP(Table1[[#This Row],[Job_Status]],$V$2:$W$4,2,FALSE)</f>
        <v>Good</v>
      </c>
      <c r="N746" s="7">
        <f>VLOOKUP(Table1[[#This Row],[Job_Status]],$V$2:$X$4,3,FALSE)</f>
        <v>0</v>
      </c>
    </row>
    <row r="747" spans="1:14" x14ac:dyDescent="0.3">
      <c r="A747" t="s">
        <v>40</v>
      </c>
      <c r="B747" t="s">
        <v>36</v>
      </c>
      <c r="C747" s="5">
        <v>2.97</v>
      </c>
      <c r="D747" s="7">
        <v>35</v>
      </c>
      <c r="E747" s="6">
        <v>5.72</v>
      </c>
      <c r="F747">
        <v>88</v>
      </c>
      <c r="G747" s="3">
        <v>45008.5</v>
      </c>
      <c r="H747" s="3">
        <v>45008.524305555555</v>
      </c>
      <c r="I747" s="3">
        <v>45008.511111111111</v>
      </c>
      <c r="J747" s="3">
        <v>45008.535416666666</v>
      </c>
      <c r="K747" t="s">
        <v>19</v>
      </c>
      <c r="L747" t="s">
        <v>20</v>
      </c>
      <c r="M747" t="str">
        <f>VLOOKUP(Table1[[#This Row],[Job_Status]],$V$2:$W$4,2,FALSE)</f>
        <v>Good</v>
      </c>
      <c r="N747" s="7">
        <f>VLOOKUP(Table1[[#This Row],[Job_Status]],$V$2:$X$4,3,FALSE)</f>
        <v>0</v>
      </c>
    </row>
    <row r="748" spans="1:14" x14ac:dyDescent="0.3">
      <c r="A748" t="s">
        <v>40</v>
      </c>
      <c r="B748" t="s">
        <v>32</v>
      </c>
      <c r="C748" s="5">
        <v>1.1399999999999999</v>
      </c>
      <c r="D748" s="7">
        <v>30</v>
      </c>
      <c r="E748" s="6">
        <v>7.66</v>
      </c>
      <c r="F748">
        <v>96</v>
      </c>
      <c r="G748" s="3">
        <v>45008.506944444445</v>
      </c>
      <c r="H748" s="3">
        <v>45008.527777777781</v>
      </c>
      <c r="I748" s="3">
        <v>45008.509027777778</v>
      </c>
      <c r="J748" s="3">
        <v>45008.529861111114</v>
      </c>
      <c r="K748" t="s">
        <v>16</v>
      </c>
      <c r="L748" t="s">
        <v>28</v>
      </c>
      <c r="M748" t="str">
        <f>VLOOKUP(Table1[[#This Row],[Job_Status]],$V$2:$W$4,2,FALSE)</f>
        <v>Good</v>
      </c>
      <c r="N748" s="7">
        <f>VLOOKUP(Table1[[#This Row],[Job_Status]],$V$2:$X$4,3,FALSE)</f>
        <v>0</v>
      </c>
    </row>
    <row r="749" spans="1:14" x14ac:dyDescent="0.3">
      <c r="A749" t="s">
        <v>34</v>
      </c>
      <c r="B749" t="s">
        <v>27</v>
      </c>
      <c r="C749" s="5">
        <v>2.57</v>
      </c>
      <c r="D749" s="7">
        <v>36</v>
      </c>
      <c r="E749" s="6">
        <v>13.05</v>
      </c>
      <c r="F749">
        <v>80</v>
      </c>
      <c r="G749" s="3">
        <v>45008.513888888891</v>
      </c>
      <c r="H749" s="3">
        <v>45008.538888888892</v>
      </c>
      <c r="I749" s="3">
        <v>45008.517361111109</v>
      </c>
      <c r="J749" s="3">
        <v>45008.542361111111</v>
      </c>
      <c r="K749" t="s">
        <v>16</v>
      </c>
      <c r="L749" t="s">
        <v>17</v>
      </c>
      <c r="M749" t="str">
        <f>VLOOKUP(Table1[[#This Row],[Job_Status]],$V$2:$W$4,2,FALSE)</f>
        <v>Good</v>
      </c>
      <c r="N749" s="7">
        <f>VLOOKUP(Table1[[#This Row],[Job_Status]],$V$2:$X$4,3,FALSE)</f>
        <v>0</v>
      </c>
    </row>
    <row r="750" spans="1:14" x14ac:dyDescent="0.3">
      <c r="A750" t="s">
        <v>30</v>
      </c>
      <c r="B750" t="s">
        <v>32</v>
      </c>
      <c r="C750" s="5">
        <v>2.4300000000000002</v>
      </c>
      <c r="D750" s="7">
        <v>94</v>
      </c>
      <c r="E750" s="6">
        <v>6.97</v>
      </c>
      <c r="F750">
        <v>87</v>
      </c>
      <c r="G750" s="3">
        <v>45008.520833333336</v>
      </c>
      <c r="H750" s="3">
        <v>45008.586111111108</v>
      </c>
      <c r="I750" s="3">
        <v>45008.531944444447</v>
      </c>
      <c r="J750" s="3">
        <v>45008.597222222219</v>
      </c>
      <c r="K750" t="s">
        <v>19</v>
      </c>
      <c r="L750" t="s">
        <v>20</v>
      </c>
      <c r="M750" t="str">
        <f>VLOOKUP(Table1[[#This Row],[Job_Status]],$V$2:$W$4,2,FALSE)</f>
        <v>Good</v>
      </c>
      <c r="N750" s="7">
        <f>VLOOKUP(Table1[[#This Row],[Job_Status]],$V$2:$X$4,3,FALSE)</f>
        <v>0</v>
      </c>
    </row>
    <row r="751" spans="1:14" x14ac:dyDescent="0.3">
      <c r="A751" t="s">
        <v>30</v>
      </c>
      <c r="B751" t="s">
        <v>15</v>
      </c>
      <c r="C751" s="5">
        <v>1.56</v>
      </c>
      <c r="D751" s="7">
        <v>69</v>
      </c>
      <c r="E751" s="6">
        <v>12.09</v>
      </c>
      <c r="F751">
        <v>90</v>
      </c>
      <c r="G751" s="3">
        <v>45008.527777777781</v>
      </c>
      <c r="H751" s="3">
        <v>45008.575694444444</v>
      </c>
      <c r="I751" s="3">
        <v>45008.540277777778</v>
      </c>
      <c r="J751" s="3">
        <v>45008.588194444441</v>
      </c>
      <c r="K751" t="s">
        <v>19</v>
      </c>
      <c r="L751" t="s">
        <v>20</v>
      </c>
      <c r="M751" t="str">
        <f>VLOOKUP(Table1[[#This Row],[Job_Status]],$V$2:$W$4,2,FALSE)</f>
        <v>Good</v>
      </c>
      <c r="N751" s="7">
        <f>VLOOKUP(Table1[[#This Row],[Job_Status]],$V$2:$X$4,3,FALSE)</f>
        <v>0</v>
      </c>
    </row>
    <row r="752" spans="1:14" x14ac:dyDescent="0.3">
      <c r="A752" t="s">
        <v>34</v>
      </c>
      <c r="B752" t="s">
        <v>36</v>
      </c>
      <c r="C752" s="5">
        <v>1.7</v>
      </c>
      <c r="D752" s="7">
        <v>74</v>
      </c>
      <c r="E752" s="6">
        <v>7.82</v>
      </c>
      <c r="F752">
        <v>93</v>
      </c>
      <c r="G752" s="3">
        <v>45008.534722222219</v>
      </c>
      <c r="H752" s="3">
        <v>45008.586111111108</v>
      </c>
      <c r="I752" s="3">
        <v>45008.536805555559</v>
      </c>
      <c r="J752" s="3">
        <v>45008.588194444441</v>
      </c>
      <c r="K752" t="s">
        <v>16</v>
      </c>
      <c r="L752" t="s">
        <v>28</v>
      </c>
      <c r="M752" t="str">
        <f>VLOOKUP(Table1[[#This Row],[Job_Status]],$V$2:$W$4,2,FALSE)</f>
        <v>Good</v>
      </c>
      <c r="N752" s="7">
        <f>VLOOKUP(Table1[[#This Row],[Job_Status]],$V$2:$X$4,3,FALSE)</f>
        <v>0</v>
      </c>
    </row>
    <row r="753" spans="1:14" x14ac:dyDescent="0.3">
      <c r="A753" t="s">
        <v>34</v>
      </c>
      <c r="B753" t="s">
        <v>36</v>
      </c>
      <c r="C753" s="5">
        <v>3.87</v>
      </c>
      <c r="D753" s="7">
        <v>90</v>
      </c>
      <c r="E753" s="6">
        <v>2.72</v>
      </c>
      <c r="F753">
        <v>87</v>
      </c>
      <c r="G753" s="3">
        <v>45008.541666666664</v>
      </c>
      <c r="H753" s="3">
        <v>45008.604166666664</v>
      </c>
      <c r="I753" s="3">
        <v>45008.538888888892</v>
      </c>
      <c r="J753" s="3">
        <v>45008.601388888892</v>
      </c>
      <c r="K753" t="s">
        <v>16</v>
      </c>
      <c r="L753" t="s">
        <v>20</v>
      </c>
      <c r="M753" t="str">
        <f>VLOOKUP(Table1[[#This Row],[Job_Status]],$V$2:$W$4,2,FALSE)</f>
        <v>Good</v>
      </c>
      <c r="N753" s="7">
        <f>VLOOKUP(Table1[[#This Row],[Job_Status]],$V$2:$X$4,3,FALSE)</f>
        <v>0</v>
      </c>
    </row>
    <row r="754" spans="1:14" x14ac:dyDescent="0.3">
      <c r="A754" t="s">
        <v>22</v>
      </c>
      <c r="B754" t="s">
        <v>27</v>
      </c>
      <c r="C754" s="5">
        <v>4.6399999999999997</v>
      </c>
      <c r="D754" s="7">
        <v>110</v>
      </c>
      <c r="E754" s="6">
        <v>12.13</v>
      </c>
      <c r="F754">
        <v>98</v>
      </c>
      <c r="G754" s="3">
        <v>45008.548611111109</v>
      </c>
      <c r="H754" s="3">
        <v>45008.625</v>
      </c>
      <c r="I754" s="3">
        <v>45008.567361111112</v>
      </c>
      <c r="J754" s="3">
        <v>45008.643750000003</v>
      </c>
      <c r="K754" t="s">
        <v>19</v>
      </c>
      <c r="L754" t="s">
        <v>20</v>
      </c>
      <c r="M754" t="str">
        <f>VLOOKUP(Table1[[#This Row],[Job_Status]],$V$2:$W$4,2,FALSE)</f>
        <v>Good</v>
      </c>
      <c r="N754" s="7">
        <f>VLOOKUP(Table1[[#This Row],[Job_Status]],$V$2:$X$4,3,FALSE)</f>
        <v>0</v>
      </c>
    </row>
    <row r="755" spans="1:14" x14ac:dyDescent="0.3">
      <c r="A755" t="s">
        <v>14</v>
      </c>
      <c r="B755" t="s">
        <v>15</v>
      </c>
      <c r="C755" s="5">
        <v>1.51</v>
      </c>
      <c r="D755" s="7">
        <v>50</v>
      </c>
      <c r="E755" s="6">
        <v>3.29</v>
      </c>
      <c r="F755">
        <v>87</v>
      </c>
      <c r="G755" s="3">
        <v>45008.555555555555</v>
      </c>
      <c r="H755" s="3">
        <v>45008.590277777781</v>
      </c>
      <c r="K755" t="s">
        <v>24</v>
      </c>
      <c r="L755" t="s">
        <v>20</v>
      </c>
      <c r="M755" t="str">
        <f>VLOOKUP(Table1[[#This Row],[Job_Status]],$V$2:$W$4,2,FALSE)</f>
        <v>Defect</v>
      </c>
      <c r="N755" s="7">
        <f>VLOOKUP(Table1[[#This Row],[Job_Status]],$V$2:$X$4,3,FALSE)</f>
        <v>100</v>
      </c>
    </row>
    <row r="756" spans="1:14" x14ac:dyDescent="0.3">
      <c r="A756" t="s">
        <v>30</v>
      </c>
      <c r="B756" t="s">
        <v>32</v>
      </c>
      <c r="C756" s="5">
        <v>3.57</v>
      </c>
      <c r="D756" s="7">
        <v>117</v>
      </c>
      <c r="E756" s="6">
        <v>8.5299999999999994</v>
      </c>
      <c r="F756">
        <v>98</v>
      </c>
      <c r="G756" s="3">
        <v>45008.5625</v>
      </c>
      <c r="H756" s="3">
        <v>45008.643750000003</v>
      </c>
      <c r="I756" s="3">
        <v>45008.55972222222</v>
      </c>
      <c r="J756" s="3">
        <v>45008.640972222223</v>
      </c>
      <c r="K756" t="s">
        <v>16</v>
      </c>
      <c r="L756" t="s">
        <v>20</v>
      </c>
      <c r="M756" t="str">
        <f>VLOOKUP(Table1[[#This Row],[Job_Status]],$V$2:$W$4,2,FALSE)</f>
        <v>Good</v>
      </c>
      <c r="N756" s="7">
        <f>VLOOKUP(Table1[[#This Row],[Job_Status]],$V$2:$X$4,3,FALSE)</f>
        <v>0</v>
      </c>
    </row>
    <row r="757" spans="1:14" x14ac:dyDescent="0.3">
      <c r="A757" t="s">
        <v>22</v>
      </c>
      <c r="B757" t="s">
        <v>15</v>
      </c>
      <c r="C757" s="5">
        <v>2.89</v>
      </c>
      <c r="D757" s="7">
        <v>120</v>
      </c>
      <c r="E757" s="6">
        <v>10.96</v>
      </c>
      <c r="F757">
        <v>97</v>
      </c>
      <c r="G757" s="3">
        <v>45008.569444444445</v>
      </c>
      <c r="H757" s="3">
        <v>45008.652777777781</v>
      </c>
      <c r="I757" s="3">
        <v>45008.580555555556</v>
      </c>
      <c r="J757" s="3">
        <v>45008.663888888892</v>
      </c>
      <c r="K757" t="s">
        <v>19</v>
      </c>
      <c r="L757" t="s">
        <v>20</v>
      </c>
      <c r="M757" t="str">
        <f>VLOOKUP(Table1[[#This Row],[Job_Status]],$V$2:$W$4,2,FALSE)</f>
        <v>Good</v>
      </c>
      <c r="N757" s="7">
        <f>VLOOKUP(Table1[[#This Row],[Job_Status]],$V$2:$X$4,3,FALSE)</f>
        <v>0</v>
      </c>
    </row>
    <row r="758" spans="1:14" x14ac:dyDescent="0.3">
      <c r="A758" t="s">
        <v>40</v>
      </c>
      <c r="B758" t="s">
        <v>15</v>
      </c>
      <c r="C758" s="5">
        <v>4.24</v>
      </c>
      <c r="D758" s="7">
        <v>29</v>
      </c>
      <c r="E758" s="6">
        <v>11.47</v>
      </c>
      <c r="F758">
        <v>83</v>
      </c>
      <c r="G758" s="3">
        <v>45008.576388888891</v>
      </c>
      <c r="H758" s="3">
        <v>45008.59652777778</v>
      </c>
      <c r="I758" s="3">
        <v>45008.574999999997</v>
      </c>
      <c r="J758" s="3">
        <v>45008.595138888886</v>
      </c>
      <c r="K758" t="s">
        <v>16</v>
      </c>
      <c r="L758" t="s">
        <v>20</v>
      </c>
      <c r="M758" t="str">
        <f>VLOOKUP(Table1[[#This Row],[Job_Status]],$V$2:$W$4,2,FALSE)</f>
        <v>Good</v>
      </c>
      <c r="N758" s="7">
        <f>VLOOKUP(Table1[[#This Row],[Job_Status]],$V$2:$X$4,3,FALSE)</f>
        <v>0</v>
      </c>
    </row>
    <row r="759" spans="1:14" x14ac:dyDescent="0.3">
      <c r="A759" t="s">
        <v>22</v>
      </c>
      <c r="B759" t="s">
        <v>15</v>
      </c>
      <c r="C759" s="5">
        <v>1.74</v>
      </c>
      <c r="D759" s="7">
        <v>67</v>
      </c>
      <c r="E759" s="6">
        <v>7.84</v>
      </c>
      <c r="F759">
        <v>82</v>
      </c>
      <c r="G759" s="3">
        <v>45008.583333333336</v>
      </c>
      <c r="H759" s="3">
        <v>45008.629861111112</v>
      </c>
      <c r="I759" s="3">
        <v>45008.581250000003</v>
      </c>
      <c r="J759" s="3">
        <v>45008.62777777778</v>
      </c>
      <c r="K759" t="s">
        <v>16</v>
      </c>
      <c r="L759" t="s">
        <v>20</v>
      </c>
      <c r="M759" t="str">
        <f>VLOOKUP(Table1[[#This Row],[Job_Status]],$V$2:$W$4,2,FALSE)</f>
        <v>Good</v>
      </c>
      <c r="N759" s="7">
        <f>VLOOKUP(Table1[[#This Row],[Job_Status]],$V$2:$X$4,3,FALSE)</f>
        <v>0</v>
      </c>
    </row>
    <row r="760" spans="1:14" x14ac:dyDescent="0.3">
      <c r="A760" t="s">
        <v>22</v>
      </c>
      <c r="B760" t="s">
        <v>36</v>
      </c>
      <c r="C760" s="5">
        <v>1.9</v>
      </c>
      <c r="D760" s="7">
        <v>32</v>
      </c>
      <c r="E760" s="6">
        <v>2.3199999999999998</v>
      </c>
      <c r="F760">
        <v>92</v>
      </c>
      <c r="G760" s="3">
        <v>45008.590277777781</v>
      </c>
      <c r="H760" s="3">
        <v>45008.612500000003</v>
      </c>
      <c r="I760" s="3">
        <v>45008.59375</v>
      </c>
      <c r="J760" s="3">
        <v>45008.615972222222</v>
      </c>
      <c r="K760" t="s">
        <v>16</v>
      </c>
      <c r="L760" t="s">
        <v>28</v>
      </c>
      <c r="M760" t="str">
        <f>VLOOKUP(Table1[[#This Row],[Job_Status]],$V$2:$W$4,2,FALSE)</f>
        <v>Good</v>
      </c>
      <c r="N760" s="7">
        <f>VLOOKUP(Table1[[#This Row],[Job_Status]],$V$2:$X$4,3,FALSE)</f>
        <v>0</v>
      </c>
    </row>
    <row r="761" spans="1:14" x14ac:dyDescent="0.3">
      <c r="A761" t="s">
        <v>22</v>
      </c>
      <c r="B761" t="s">
        <v>36</v>
      </c>
      <c r="C761" s="5">
        <v>1.1200000000000001</v>
      </c>
      <c r="D761" s="7">
        <v>113</v>
      </c>
      <c r="E761" s="6">
        <v>12.41</v>
      </c>
      <c r="F761">
        <v>84</v>
      </c>
      <c r="G761" s="3">
        <v>45008.597222222219</v>
      </c>
      <c r="H761" s="3">
        <v>45008.675694444442</v>
      </c>
      <c r="I761" s="3">
        <v>45008.611111111109</v>
      </c>
      <c r="J761" s="3">
        <v>45008.689583333333</v>
      </c>
      <c r="K761" t="s">
        <v>19</v>
      </c>
      <c r="L761" t="s">
        <v>20</v>
      </c>
      <c r="M761" t="str">
        <f>VLOOKUP(Table1[[#This Row],[Job_Status]],$V$2:$W$4,2,FALSE)</f>
        <v>Good</v>
      </c>
      <c r="N761" s="7">
        <f>VLOOKUP(Table1[[#This Row],[Job_Status]],$V$2:$X$4,3,FALSE)</f>
        <v>0</v>
      </c>
    </row>
    <row r="762" spans="1:14" x14ac:dyDescent="0.3">
      <c r="A762" t="s">
        <v>30</v>
      </c>
      <c r="B762" t="s">
        <v>36</v>
      </c>
      <c r="C762" s="5">
        <v>1.66</v>
      </c>
      <c r="D762" s="7">
        <v>26</v>
      </c>
      <c r="E762" s="6">
        <v>6.33</v>
      </c>
      <c r="F762">
        <v>85</v>
      </c>
      <c r="G762" s="3">
        <v>45008.604166666664</v>
      </c>
      <c r="H762" s="3">
        <v>45008.62222222222</v>
      </c>
      <c r="I762" s="3">
        <v>45008.604166666664</v>
      </c>
      <c r="J762" s="3">
        <v>45008.62222222222</v>
      </c>
      <c r="K762" t="s">
        <v>16</v>
      </c>
      <c r="L762" t="s">
        <v>28</v>
      </c>
      <c r="M762" t="str">
        <f>VLOOKUP(Table1[[#This Row],[Job_Status]],$V$2:$W$4,2,FALSE)</f>
        <v>Good</v>
      </c>
      <c r="N762" s="7">
        <f>VLOOKUP(Table1[[#This Row],[Job_Status]],$V$2:$X$4,3,FALSE)</f>
        <v>0</v>
      </c>
    </row>
    <row r="763" spans="1:14" x14ac:dyDescent="0.3">
      <c r="A763" t="s">
        <v>40</v>
      </c>
      <c r="B763" t="s">
        <v>32</v>
      </c>
      <c r="C763" s="5">
        <v>1.83</v>
      </c>
      <c r="D763" s="7">
        <v>87</v>
      </c>
      <c r="E763" s="6">
        <v>6.72</v>
      </c>
      <c r="F763">
        <v>90</v>
      </c>
      <c r="G763" s="3">
        <v>45008.611111111109</v>
      </c>
      <c r="H763" s="3">
        <v>45008.671527777777</v>
      </c>
      <c r="I763" s="3">
        <v>45008.613194444442</v>
      </c>
      <c r="J763" s="3">
        <v>45008.673611111109</v>
      </c>
      <c r="K763" t="s">
        <v>16</v>
      </c>
      <c r="L763" t="s">
        <v>28</v>
      </c>
      <c r="M763" t="str">
        <f>VLOOKUP(Table1[[#This Row],[Job_Status]],$V$2:$W$4,2,FALSE)</f>
        <v>Good</v>
      </c>
      <c r="N763" s="7">
        <f>VLOOKUP(Table1[[#This Row],[Job_Status]],$V$2:$X$4,3,FALSE)</f>
        <v>0</v>
      </c>
    </row>
    <row r="764" spans="1:14" x14ac:dyDescent="0.3">
      <c r="A764" t="s">
        <v>22</v>
      </c>
      <c r="B764" t="s">
        <v>27</v>
      </c>
      <c r="C764" s="5">
        <v>4.1399999999999997</v>
      </c>
      <c r="D764" s="7">
        <v>76</v>
      </c>
      <c r="E764" s="6">
        <v>11.27</v>
      </c>
      <c r="F764">
        <v>99</v>
      </c>
      <c r="G764" s="3">
        <v>45008.618055555555</v>
      </c>
      <c r="H764" s="3">
        <v>45008.67083333333</v>
      </c>
      <c r="I764" s="3">
        <v>45008.619444444441</v>
      </c>
      <c r="J764" s="3">
        <v>45008.672222222223</v>
      </c>
      <c r="K764" t="s">
        <v>16</v>
      </c>
      <c r="L764" t="s">
        <v>17</v>
      </c>
      <c r="M764" t="str">
        <f>VLOOKUP(Table1[[#This Row],[Job_Status]],$V$2:$W$4,2,FALSE)</f>
        <v>Good</v>
      </c>
      <c r="N764" s="7">
        <f>VLOOKUP(Table1[[#This Row],[Job_Status]],$V$2:$X$4,3,FALSE)</f>
        <v>0</v>
      </c>
    </row>
    <row r="765" spans="1:14" x14ac:dyDescent="0.3">
      <c r="A765" t="s">
        <v>34</v>
      </c>
      <c r="B765" t="s">
        <v>23</v>
      </c>
      <c r="C765" s="5">
        <v>2.65</v>
      </c>
      <c r="D765" s="7">
        <v>84</v>
      </c>
      <c r="E765" s="6">
        <v>11.37</v>
      </c>
      <c r="F765">
        <v>82</v>
      </c>
      <c r="G765" s="3">
        <v>45008.625</v>
      </c>
      <c r="H765" s="3">
        <v>45008.683333333334</v>
      </c>
      <c r="K765" t="s">
        <v>24</v>
      </c>
      <c r="L765" t="s">
        <v>20</v>
      </c>
      <c r="M765" t="str">
        <f>VLOOKUP(Table1[[#This Row],[Job_Status]],$V$2:$W$4,2,FALSE)</f>
        <v>Defect</v>
      </c>
      <c r="N765" s="7">
        <f>VLOOKUP(Table1[[#This Row],[Job_Status]],$V$2:$X$4,3,FALSE)</f>
        <v>100</v>
      </c>
    </row>
    <row r="766" spans="1:14" x14ac:dyDescent="0.3">
      <c r="A766" t="s">
        <v>22</v>
      </c>
      <c r="B766" t="s">
        <v>15</v>
      </c>
      <c r="C766" s="5">
        <v>4.25</v>
      </c>
      <c r="D766" s="7">
        <v>97</v>
      </c>
      <c r="E766" s="6">
        <v>3.23</v>
      </c>
      <c r="F766">
        <v>82</v>
      </c>
      <c r="G766" s="3">
        <v>45008.631944444445</v>
      </c>
      <c r="H766" s="3">
        <v>45008.699305555558</v>
      </c>
      <c r="I766" s="3">
        <v>45008.634027777778</v>
      </c>
      <c r="J766" s="3">
        <v>45008.701388888891</v>
      </c>
      <c r="K766" t="s">
        <v>16</v>
      </c>
      <c r="L766" t="s">
        <v>28</v>
      </c>
      <c r="M766" t="str">
        <f>VLOOKUP(Table1[[#This Row],[Job_Status]],$V$2:$W$4,2,FALSE)</f>
        <v>Good</v>
      </c>
      <c r="N766" s="7">
        <f>VLOOKUP(Table1[[#This Row],[Job_Status]],$V$2:$X$4,3,FALSE)</f>
        <v>0</v>
      </c>
    </row>
    <row r="767" spans="1:14" x14ac:dyDescent="0.3">
      <c r="A767" t="s">
        <v>40</v>
      </c>
      <c r="B767" t="s">
        <v>27</v>
      </c>
      <c r="C767" s="5">
        <v>3.92</v>
      </c>
      <c r="D767" s="7">
        <v>21</v>
      </c>
      <c r="E767" s="6">
        <v>12.69</v>
      </c>
      <c r="F767">
        <v>81</v>
      </c>
      <c r="G767" s="3">
        <v>45008.638888888891</v>
      </c>
      <c r="H767" s="3">
        <v>45008.65347222222</v>
      </c>
      <c r="K767" t="s">
        <v>24</v>
      </c>
      <c r="L767" t="s">
        <v>20</v>
      </c>
      <c r="M767" t="str">
        <f>VLOOKUP(Table1[[#This Row],[Job_Status]],$V$2:$W$4,2,FALSE)</f>
        <v>Defect</v>
      </c>
      <c r="N767" s="7">
        <f>VLOOKUP(Table1[[#This Row],[Job_Status]],$V$2:$X$4,3,FALSE)</f>
        <v>100</v>
      </c>
    </row>
    <row r="768" spans="1:14" x14ac:dyDescent="0.3">
      <c r="A768" t="s">
        <v>22</v>
      </c>
      <c r="B768" t="s">
        <v>15</v>
      </c>
      <c r="C768" s="5">
        <v>2.5499999999999998</v>
      </c>
      <c r="D768" s="7">
        <v>98</v>
      </c>
      <c r="E768" s="6">
        <v>8.86</v>
      </c>
      <c r="F768">
        <v>81</v>
      </c>
      <c r="G768" s="3">
        <v>45008.645833333336</v>
      </c>
      <c r="H768" s="3">
        <v>45008.713888888888</v>
      </c>
      <c r="I768" s="3">
        <v>45008.657638888886</v>
      </c>
      <c r="J768" s="3">
        <v>45008.725694444445</v>
      </c>
      <c r="K768" t="s">
        <v>19</v>
      </c>
      <c r="L768" t="s">
        <v>20</v>
      </c>
      <c r="M768" t="str">
        <f>VLOOKUP(Table1[[#This Row],[Job_Status]],$V$2:$W$4,2,FALSE)</f>
        <v>Good</v>
      </c>
      <c r="N768" s="7">
        <f>VLOOKUP(Table1[[#This Row],[Job_Status]],$V$2:$X$4,3,FALSE)</f>
        <v>0</v>
      </c>
    </row>
    <row r="769" spans="1:14" x14ac:dyDescent="0.3">
      <c r="A769" t="s">
        <v>40</v>
      </c>
      <c r="B769" t="s">
        <v>15</v>
      </c>
      <c r="C769" s="5">
        <v>1.83</v>
      </c>
      <c r="D769" s="7">
        <v>112</v>
      </c>
      <c r="E769" s="6">
        <v>3.11</v>
      </c>
      <c r="F769">
        <v>95</v>
      </c>
      <c r="G769" s="3">
        <v>45008.652777777781</v>
      </c>
      <c r="H769" s="3">
        <v>45008.730555555558</v>
      </c>
      <c r="I769" s="3">
        <v>45008.651388888888</v>
      </c>
      <c r="J769" s="3">
        <v>45008.729166666664</v>
      </c>
      <c r="K769" t="s">
        <v>16</v>
      </c>
      <c r="L769" t="s">
        <v>20</v>
      </c>
      <c r="M769" t="str">
        <f>VLOOKUP(Table1[[#This Row],[Job_Status]],$V$2:$W$4,2,FALSE)</f>
        <v>Good</v>
      </c>
      <c r="N769" s="7">
        <f>VLOOKUP(Table1[[#This Row],[Job_Status]],$V$2:$X$4,3,FALSE)</f>
        <v>0</v>
      </c>
    </row>
    <row r="770" spans="1:14" x14ac:dyDescent="0.3">
      <c r="A770" t="s">
        <v>22</v>
      </c>
      <c r="B770" t="s">
        <v>32</v>
      </c>
      <c r="C770" s="5">
        <v>2.13</v>
      </c>
      <c r="D770" s="7">
        <v>87</v>
      </c>
      <c r="E770" s="6">
        <v>5.3</v>
      </c>
      <c r="F770">
        <v>95</v>
      </c>
      <c r="G770" s="3">
        <v>45008.659722222219</v>
      </c>
      <c r="H770" s="3">
        <v>45008.720138888886</v>
      </c>
      <c r="I770" s="3">
        <v>45008.658333333333</v>
      </c>
      <c r="J770" s="3">
        <v>45008.71875</v>
      </c>
      <c r="K770" t="s">
        <v>16</v>
      </c>
      <c r="L770" t="s">
        <v>20</v>
      </c>
      <c r="M770" t="str">
        <f>VLOOKUP(Table1[[#This Row],[Job_Status]],$V$2:$W$4,2,FALSE)</f>
        <v>Good</v>
      </c>
      <c r="N770" s="7">
        <f>VLOOKUP(Table1[[#This Row],[Job_Status]],$V$2:$X$4,3,FALSE)</f>
        <v>0</v>
      </c>
    </row>
    <row r="771" spans="1:14" x14ac:dyDescent="0.3">
      <c r="A771" t="s">
        <v>14</v>
      </c>
      <c r="B771" t="s">
        <v>36</v>
      </c>
      <c r="C771" s="5">
        <v>2.2999999999999998</v>
      </c>
      <c r="D771" s="7">
        <v>59</v>
      </c>
      <c r="E771" s="6">
        <v>4.32</v>
      </c>
      <c r="F771">
        <v>95</v>
      </c>
      <c r="G771" s="3">
        <v>45008.666666666664</v>
      </c>
      <c r="H771" s="3">
        <v>45008.707638888889</v>
      </c>
      <c r="I771" s="3">
        <v>45008.669444444444</v>
      </c>
      <c r="J771" s="3">
        <v>45008.710416666669</v>
      </c>
      <c r="K771" t="s">
        <v>16</v>
      </c>
      <c r="L771" t="s">
        <v>28</v>
      </c>
      <c r="M771" t="str">
        <f>VLOOKUP(Table1[[#This Row],[Job_Status]],$V$2:$W$4,2,FALSE)</f>
        <v>Good</v>
      </c>
      <c r="N771" s="7">
        <f>VLOOKUP(Table1[[#This Row],[Job_Status]],$V$2:$X$4,3,FALSE)</f>
        <v>0</v>
      </c>
    </row>
    <row r="772" spans="1:14" x14ac:dyDescent="0.3">
      <c r="A772" t="s">
        <v>34</v>
      </c>
      <c r="B772" t="s">
        <v>15</v>
      </c>
      <c r="C772" s="5">
        <v>4.21</v>
      </c>
      <c r="D772" s="7">
        <v>105</v>
      </c>
      <c r="E772" s="6">
        <v>9.9600000000000009</v>
      </c>
      <c r="F772">
        <v>93</v>
      </c>
      <c r="G772" s="3">
        <v>45008.673611111109</v>
      </c>
      <c r="H772" s="3">
        <v>45008.746527777781</v>
      </c>
      <c r="I772" s="3">
        <v>45008.692361111112</v>
      </c>
      <c r="J772" s="3">
        <v>45008.765277777777</v>
      </c>
      <c r="K772" t="s">
        <v>19</v>
      </c>
      <c r="L772" t="s">
        <v>20</v>
      </c>
      <c r="M772" t="str">
        <f>VLOOKUP(Table1[[#This Row],[Job_Status]],$V$2:$W$4,2,FALSE)</f>
        <v>Good</v>
      </c>
      <c r="N772" s="7">
        <f>VLOOKUP(Table1[[#This Row],[Job_Status]],$V$2:$X$4,3,FALSE)</f>
        <v>0</v>
      </c>
    </row>
    <row r="773" spans="1:14" x14ac:dyDescent="0.3">
      <c r="A773" t="s">
        <v>34</v>
      </c>
      <c r="B773" t="s">
        <v>23</v>
      </c>
      <c r="C773" s="5">
        <v>3.69</v>
      </c>
      <c r="D773" s="7">
        <v>103</v>
      </c>
      <c r="E773" s="6">
        <v>2.21</v>
      </c>
      <c r="F773">
        <v>95</v>
      </c>
      <c r="G773" s="3">
        <v>45008.680555555555</v>
      </c>
      <c r="H773" s="3">
        <v>45008.752083333333</v>
      </c>
      <c r="I773" s="3">
        <v>45008.677777777775</v>
      </c>
      <c r="J773" s="3">
        <v>45008.749305555553</v>
      </c>
      <c r="K773" t="s">
        <v>16</v>
      </c>
      <c r="L773" t="s">
        <v>20</v>
      </c>
      <c r="M773" t="str">
        <f>VLOOKUP(Table1[[#This Row],[Job_Status]],$V$2:$W$4,2,FALSE)</f>
        <v>Good</v>
      </c>
      <c r="N773" s="7">
        <f>VLOOKUP(Table1[[#This Row],[Job_Status]],$V$2:$X$4,3,FALSE)</f>
        <v>0</v>
      </c>
    </row>
    <row r="774" spans="1:14" x14ac:dyDescent="0.3">
      <c r="A774" t="s">
        <v>22</v>
      </c>
      <c r="B774" t="s">
        <v>32</v>
      </c>
      <c r="C774" s="5">
        <v>3.81</v>
      </c>
      <c r="D774" s="7">
        <v>71</v>
      </c>
      <c r="E774" s="6">
        <v>12.02</v>
      </c>
      <c r="F774">
        <v>94</v>
      </c>
      <c r="G774" s="3">
        <v>45008.6875</v>
      </c>
      <c r="H774" s="3">
        <v>45008.736805555556</v>
      </c>
      <c r="I774" s="3">
        <v>45008.696527777778</v>
      </c>
      <c r="J774" s="3">
        <v>45008.745833333334</v>
      </c>
      <c r="K774" t="s">
        <v>19</v>
      </c>
      <c r="L774" t="s">
        <v>20</v>
      </c>
      <c r="M774" t="str">
        <f>VLOOKUP(Table1[[#This Row],[Job_Status]],$V$2:$W$4,2,FALSE)</f>
        <v>Good</v>
      </c>
      <c r="N774" s="7">
        <f>VLOOKUP(Table1[[#This Row],[Job_Status]],$V$2:$X$4,3,FALSE)</f>
        <v>0</v>
      </c>
    </row>
    <row r="775" spans="1:14" x14ac:dyDescent="0.3">
      <c r="A775" t="s">
        <v>34</v>
      </c>
      <c r="B775" t="s">
        <v>15</v>
      </c>
      <c r="C775" s="5">
        <v>1.9</v>
      </c>
      <c r="D775" s="7">
        <v>120</v>
      </c>
      <c r="E775" s="6">
        <v>6.96</v>
      </c>
      <c r="F775">
        <v>87</v>
      </c>
      <c r="G775" s="3">
        <v>45008.694444444445</v>
      </c>
      <c r="H775" s="3">
        <v>45008.777777777781</v>
      </c>
      <c r="K775" t="s">
        <v>24</v>
      </c>
      <c r="L775" t="s">
        <v>20</v>
      </c>
      <c r="M775" t="str">
        <f>VLOOKUP(Table1[[#This Row],[Job_Status]],$V$2:$W$4,2,FALSE)</f>
        <v>Defect</v>
      </c>
      <c r="N775" s="7">
        <f>VLOOKUP(Table1[[#This Row],[Job_Status]],$V$2:$X$4,3,FALSE)</f>
        <v>100</v>
      </c>
    </row>
    <row r="776" spans="1:14" x14ac:dyDescent="0.3">
      <c r="A776" t="s">
        <v>14</v>
      </c>
      <c r="B776" t="s">
        <v>23</v>
      </c>
      <c r="C776" s="5">
        <v>2.4300000000000002</v>
      </c>
      <c r="D776" s="7">
        <v>69</v>
      </c>
      <c r="E776" s="6">
        <v>13.76</v>
      </c>
      <c r="F776">
        <v>80</v>
      </c>
      <c r="G776" s="3">
        <v>45008.701388888891</v>
      </c>
      <c r="H776" s="3">
        <v>45008.749305555553</v>
      </c>
      <c r="I776" s="3">
        <v>45008.699305555558</v>
      </c>
      <c r="J776" s="3">
        <v>45008.74722222222</v>
      </c>
      <c r="K776" t="s">
        <v>16</v>
      </c>
      <c r="L776" t="s">
        <v>20</v>
      </c>
      <c r="M776" t="str">
        <f>VLOOKUP(Table1[[#This Row],[Job_Status]],$V$2:$W$4,2,FALSE)</f>
        <v>Good</v>
      </c>
      <c r="N776" s="7">
        <f>VLOOKUP(Table1[[#This Row],[Job_Status]],$V$2:$X$4,3,FALSE)</f>
        <v>0</v>
      </c>
    </row>
    <row r="777" spans="1:14" x14ac:dyDescent="0.3">
      <c r="A777" t="s">
        <v>40</v>
      </c>
      <c r="B777" t="s">
        <v>27</v>
      </c>
      <c r="C777" s="5">
        <v>4.7300000000000004</v>
      </c>
      <c r="D777" s="7">
        <v>34</v>
      </c>
      <c r="E777" s="6">
        <v>3</v>
      </c>
      <c r="F777">
        <v>92</v>
      </c>
      <c r="G777" s="3">
        <v>45008.708333333336</v>
      </c>
      <c r="H777" s="3">
        <v>45008.731944444444</v>
      </c>
      <c r="I777" s="3">
        <v>45008.711805555555</v>
      </c>
      <c r="J777" s="3">
        <v>45008.73541666667</v>
      </c>
      <c r="K777" t="s">
        <v>16</v>
      </c>
      <c r="L777" t="s">
        <v>28</v>
      </c>
      <c r="M777" t="str">
        <f>VLOOKUP(Table1[[#This Row],[Job_Status]],$V$2:$W$4,2,FALSE)</f>
        <v>Good</v>
      </c>
      <c r="N777" s="7">
        <f>VLOOKUP(Table1[[#This Row],[Job_Status]],$V$2:$X$4,3,FALSE)</f>
        <v>0</v>
      </c>
    </row>
    <row r="778" spans="1:14" x14ac:dyDescent="0.3">
      <c r="A778" t="s">
        <v>40</v>
      </c>
      <c r="B778" t="s">
        <v>32</v>
      </c>
      <c r="C778" s="5">
        <v>1.86</v>
      </c>
      <c r="D778" s="7">
        <v>118</v>
      </c>
      <c r="E778" s="6">
        <v>7.64</v>
      </c>
      <c r="F778">
        <v>91</v>
      </c>
      <c r="G778" s="3">
        <v>45008.715277777781</v>
      </c>
      <c r="H778" s="3">
        <v>45008.797222222223</v>
      </c>
      <c r="I778" s="3">
        <v>45008.715277777781</v>
      </c>
      <c r="J778" s="3">
        <v>45008.797222222223</v>
      </c>
      <c r="K778" t="s">
        <v>16</v>
      </c>
      <c r="L778" t="s">
        <v>28</v>
      </c>
      <c r="M778" t="str">
        <f>VLOOKUP(Table1[[#This Row],[Job_Status]],$V$2:$W$4,2,FALSE)</f>
        <v>Good</v>
      </c>
      <c r="N778" s="7">
        <f>VLOOKUP(Table1[[#This Row],[Job_Status]],$V$2:$X$4,3,FALSE)</f>
        <v>0</v>
      </c>
    </row>
    <row r="779" spans="1:14" x14ac:dyDescent="0.3">
      <c r="A779" t="s">
        <v>30</v>
      </c>
      <c r="B779" t="s">
        <v>23</v>
      </c>
      <c r="C779" s="5">
        <v>1.25</v>
      </c>
      <c r="D779" s="7">
        <v>44</v>
      </c>
      <c r="E779" s="6">
        <v>12.18</v>
      </c>
      <c r="F779">
        <v>92</v>
      </c>
      <c r="G779" s="3">
        <v>45008.722222222219</v>
      </c>
      <c r="H779" s="3">
        <v>45008.75277777778</v>
      </c>
      <c r="I779" s="3">
        <v>45008.73333333333</v>
      </c>
      <c r="J779" s="3">
        <v>45008.763888888891</v>
      </c>
      <c r="K779" t="s">
        <v>19</v>
      </c>
      <c r="L779" t="s">
        <v>20</v>
      </c>
      <c r="M779" t="str">
        <f>VLOOKUP(Table1[[#This Row],[Job_Status]],$V$2:$W$4,2,FALSE)</f>
        <v>Good</v>
      </c>
      <c r="N779" s="7">
        <f>VLOOKUP(Table1[[#This Row],[Job_Status]],$V$2:$X$4,3,FALSE)</f>
        <v>0</v>
      </c>
    </row>
    <row r="780" spans="1:14" x14ac:dyDescent="0.3">
      <c r="A780" t="s">
        <v>40</v>
      </c>
      <c r="B780" t="s">
        <v>23</v>
      </c>
      <c r="C780" s="5">
        <v>4.9000000000000004</v>
      </c>
      <c r="D780" s="7">
        <v>75</v>
      </c>
      <c r="E780" s="6">
        <v>13.52</v>
      </c>
      <c r="F780">
        <v>82</v>
      </c>
      <c r="G780" s="3">
        <v>45008.729166666664</v>
      </c>
      <c r="H780" s="3">
        <v>45008.78125</v>
      </c>
      <c r="I780" s="3">
        <v>45008.730555555558</v>
      </c>
      <c r="J780" s="3">
        <v>45008.782638888886</v>
      </c>
      <c r="K780" t="s">
        <v>16</v>
      </c>
      <c r="L780" t="s">
        <v>17</v>
      </c>
      <c r="M780" t="str">
        <f>VLOOKUP(Table1[[#This Row],[Job_Status]],$V$2:$W$4,2,FALSE)</f>
        <v>Good</v>
      </c>
      <c r="N780" s="7">
        <f>VLOOKUP(Table1[[#This Row],[Job_Status]],$V$2:$X$4,3,FALSE)</f>
        <v>0</v>
      </c>
    </row>
    <row r="781" spans="1:14" x14ac:dyDescent="0.3">
      <c r="A781" t="s">
        <v>14</v>
      </c>
      <c r="B781" t="s">
        <v>15</v>
      </c>
      <c r="C781" s="5">
        <v>3.67</v>
      </c>
      <c r="D781" s="7">
        <v>64</v>
      </c>
      <c r="E781" s="6">
        <v>3.28</v>
      </c>
      <c r="F781">
        <v>90</v>
      </c>
      <c r="G781" s="3">
        <v>45008.736111111109</v>
      </c>
      <c r="H781" s="3">
        <v>45008.780555555553</v>
      </c>
      <c r="I781" s="3">
        <v>45008.739583333336</v>
      </c>
      <c r="J781" s="3">
        <v>45008.78402777778</v>
      </c>
      <c r="K781" t="s">
        <v>16</v>
      </c>
      <c r="L781" t="s">
        <v>28</v>
      </c>
      <c r="M781" t="str">
        <f>VLOOKUP(Table1[[#This Row],[Job_Status]],$V$2:$W$4,2,FALSE)</f>
        <v>Good</v>
      </c>
      <c r="N781" s="7">
        <f>VLOOKUP(Table1[[#This Row],[Job_Status]],$V$2:$X$4,3,FALSE)</f>
        <v>0</v>
      </c>
    </row>
    <row r="782" spans="1:14" x14ac:dyDescent="0.3">
      <c r="A782" t="s">
        <v>40</v>
      </c>
      <c r="B782" t="s">
        <v>15</v>
      </c>
      <c r="C782" s="5">
        <v>2.2999999999999998</v>
      </c>
      <c r="D782" s="7">
        <v>31</v>
      </c>
      <c r="E782" s="6">
        <v>14.58</v>
      </c>
      <c r="F782">
        <v>88</v>
      </c>
      <c r="G782" s="3">
        <v>45008.743055555555</v>
      </c>
      <c r="H782" s="3">
        <v>45008.76458333333</v>
      </c>
      <c r="I782" s="3">
        <v>45008.75</v>
      </c>
      <c r="J782" s="3">
        <v>45008.771527777775</v>
      </c>
      <c r="K782" t="s">
        <v>19</v>
      </c>
      <c r="L782" t="s">
        <v>20</v>
      </c>
      <c r="M782" t="str">
        <f>VLOOKUP(Table1[[#This Row],[Job_Status]],$V$2:$W$4,2,FALSE)</f>
        <v>Good</v>
      </c>
      <c r="N782" s="7">
        <f>VLOOKUP(Table1[[#This Row],[Job_Status]],$V$2:$X$4,3,FALSE)</f>
        <v>0</v>
      </c>
    </row>
    <row r="783" spans="1:14" x14ac:dyDescent="0.3">
      <c r="A783" t="s">
        <v>34</v>
      </c>
      <c r="B783" t="s">
        <v>32</v>
      </c>
      <c r="C783" s="5">
        <v>2.8</v>
      </c>
      <c r="D783" s="7">
        <v>103</v>
      </c>
      <c r="E783" s="6">
        <v>8.66</v>
      </c>
      <c r="F783">
        <v>92</v>
      </c>
      <c r="G783" s="3">
        <v>45008.75</v>
      </c>
      <c r="H783" s="3">
        <v>45008.821527777778</v>
      </c>
      <c r="I783" s="3">
        <v>45008.747916666667</v>
      </c>
      <c r="J783" s="3">
        <v>45008.819444444445</v>
      </c>
      <c r="K783" t="s">
        <v>16</v>
      </c>
      <c r="L783" t="s">
        <v>20</v>
      </c>
      <c r="M783" t="str">
        <f>VLOOKUP(Table1[[#This Row],[Job_Status]],$V$2:$W$4,2,FALSE)</f>
        <v>Good</v>
      </c>
      <c r="N783" s="7">
        <f>VLOOKUP(Table1[[#This Row],[Job_Status]],$V$2:$X$4,3,FALSE)</f>
        <v>0</v>
      </c>
    </row>
    <row r="784" spans="1:14" x14ac:dyDescent="0.3">
      <c r="A784" t="s">
        <v>30</v>
      </c>
      <c r="B784" t="s">
        <v>36</v>
      </c>
      <c r="C784" s="5">
        <v>1.99</v>
      </c>
      <c r="D784" s="7">
        <v>42</v>
      </c>
      <c r="E784" s="6">
        <v>7.26</v>
      </c>
      <c r="F784">
        <v>81</v>
      </c>
      <c r="G784" s="3">
        <v>45008.756944444445</v>
      </c>
      <c r="H784" s="3">
        <v>45008.786111111112</v>
      </c>
      <c r="I784" s="3">
        <v>45008.753472222219</v>
      </c>
      <c r="J784" s="3">
        <v>45008.782638888886</v>
      </c>
      <c r="K784" t="s">
        <v>16</v>
      </c>
      <c r="L784" t="s">
        <v>20</v>
      </c>
      <c r="M784" t="str">
        <f>VLOOKUP(Table1[[#This Row],[Job_Status]],$V$2:$W$4,2,FALSE)</f>
        <v>Good</v>
      </c>
      <c r="N784" s="7">
        <f>VLOOKUP(Table1[[#This Row],[Job_Status]],$V$2:$X$4,3,FALSE)</f>
        <v>0</v>
      </c>
    </row>
    <row r="785" spans="1:14" x14ac:dyDescent="0.3">
      <c r="A785" t="s">
        <v>14</v>
      </c>
      <c r="B785" t="s">
        <v>36</v>
      </c>
      <c r="C785" s="5">
        <v>2.84</v>
      </c>
      <c r="D785" s="7">
        <v>73</v>
      </c>
      <c r="E785" s="6">
        <v>12.23</v>
      </c>
      <c r="F785">
        <v>93</v>
      </c>
      <c r="G785" s="3">
        <v>45008.763888888891</v>
      </c>
      <c r="H785" s="3">
        <v>45008.814583333333</v>
      </c>
      <c r="I785" s="3">
        <v>45008.763888888891</v>
      </c>
      <c r="J785" s="3">
        <v>45008.814583333333</v>
      </c>
      <c r="K785" t="s">
        <v>16</v>
      </c>
      <c r="L785" t="s">
        <v>17</v>
      </c>
      <c r="M785" t="str">
        <f>VLOOKUP(Table1[[#This Row],[Job_Status]],$V$2:$W$4,2,FALSE)</f>
        <v>Good</v>
      </c>
      <c r="N785" s="7">
        <f>VLOOKUP(Table1[[#This Row],[Job_Status]],$V$2:$X$4,3,FALSE)</f>
        <v>0</v>
      </c>
    </row>
    <row r="786" spans="1:14" x14ac:dyDescent="0.3">
      <c r="A786" t="s">
        <v>30</v>
      </c>
      <c r="B786" t="s">
        <v>23</v>
      </c>
      <c r="C786" s="5">
        <v>4.55</v>
      </c>
      <c r="D786" s="7">
        <v>118</v>
      </c>
      <c r="E786" s="6">
        <v>7.16</v>
      </c>
      <c r="F786">
        <v>96</v>
      </c>
      <c r="G786" s="3">
        <v>45008.770833333336</v>
      </c>
      <c r="H786" s="3">
        <v>45008.852777777778</v>
      </c>
      <c r="I786" s="3">
        <v>45008.770138888889</v>
      </c>
      <c r="J786" s="3">
        <v>45008.852083333331</v>
      </c>
      <c r="K786" t="s">
        <v>16</v>
      </c>
      <c r="L786" t="s">
        <v>20</v>
      </c>
      <c r="M786" t="str">
        <f>VLOOKUP(Table1[[#This Row],[Job_Status]],$V$2:$W$4,2,FALSE)</f>
        <v>Good</v>
      </c>
      <c r="N786" s="7">
        <f>VLOOKUP(Table1[[#This Row],[Job_Status]],$V$2:$X$4,3,FALSE)</f>
        <v>0</v>
      </c>
    </row>
    <row r="787" spans="1:14" x14ac:dyDescent="0.3">
      <c r="A787" t="s">
        <v>22</v>
      </c>
      <c r="B787" t="s">
        <v>27</v>
      </c>
      <c r="C787" s="5">
        <v>4.92</v>
      </c>
      <c r="D787" s="7">
        <v>97</v>
      </c>
      <c r="E787" s="6">
        <v>5.17</v>
      </c>
      <c r="F787">
        <v>92</v>
      </c>
      <c r="G787" s="3">
        <v>45008.777777777781</v>
      </c>
      <c r="H787" s="3">
        <v>45008.845138888886</v>
      </c>
      <c r="I787" s="3">
        <v>45008.776388888888</v>
      </c>
      <c r="J787" s="3">
        <v>45008.84375</v>
      </c>
      <c r="K787" t="s">
        <v>16</v>
      </c>
      <c r="L787" t="s">
        <v>20</v>
      </c>
      <c r="M787" t="str">
        <f>VLOOKUP(Table1[[#This Row],[Job_Status]],$V$2:$W$4,2,FALSE)</f>
        <v>Good</v>
      </c>
      <c r="N787" s="7">
        <f>VLOOKUP(Table1[[#This Row],[Job_Status]],$V$2:$X$4,3,FALSE)</f>
        <v>0</v>
      </c>
    </row>
    <row r="788" spans="1:14" x14ac:dyDescent="0.3">
      <c r="A788" t="s">
        <v>34</v>
      </c>
      <c r="B788" t="s">
        <v>36</v>
      </c>
      <c r="C788" s="5">
        <v>3.39</v>
      </c>
      <c r="D788" s="7">
        <v>110</v>
      </c>
      <c r="E788" s="6">
        <v>7.71</v>
      </c>
      <c r="F788">
        <v>92</v>
      </c>
      <c r="G788" s="3">
        <v>45008.784722222219</v>
      </c>
      <c r="H788" s="3">
        <v>45008.861111111109</v>
      </c>
      <c r="I788" s="3">
        <v>45008.781944444447</v>
      </c>
      <c r="J788" s="3">
        <v>45008.85833333333</v>
      </c>
      <c r="K788" t="s">
        <v>16</v>
      </c>
      <c r="L788" t="s">
        <v>20</v>
      </c>
      <c r="M788" t="str">
        <f>VLOOKUP(Table1[[#This Row],[Job_Status]],$V$2:$W$4,2,FALSE)</f>
        <v>Good</v>
      </c>
      <c r="N788" s="7">
        <f>VLOOKUP(Table1[[#This Row],[Job_Status]],$V$2:$X$4,3,FALSE)</f>
        <v>0</v>
      </c>
    </row>
    <row r="789" spans="1:14" x14ac:dyDescent="0.3">
      <c r="A789" t="s">
        <v>30</v>
      </c>
      <c r="B789" t="s">
        <v>15</v>
      </c>
      <c r="C789" s="5">
        <v>4.07</v>
      </c>
      <c r="D789" s="7">
        <v>92</v>
      </c>
      <c r="E789" s="6">
        <v>11.17</v>
      </c>
      <c r="F789">
        <v>89</v>
      </c>
      <c r="G789" s="3">
        <v>45008.791666666664</v>
      </c>
      <c r="H789" s="3">
        <v>45008.855555555558</v>
      </c>
      <c r="I789" s="3">
        <v>45008.791666666664</v>
      </c>
      <c r="J789" s="3">
        <v>45008.855555555558</v>
      </c>
      <c r="K789" t="s">
        <v>16</v>
      </c>
      <c r="L789" t="s">
        <v>17</v>
      </c>
      <c r="M789" t="str">
        <f>VLOOKUP(Table1[[#This Row],[Job_Status]],$V$2:$W$4,2,FALSE)</f>
        <v>Good</v>
      </c>
      <c r="N789" s="7">
        <f>VLOOKUP(Table1[[#This Row],[Job_Status]],$V$2:$X$4,3,FALSE)</f>
        <v>0</v>
      </c>
    </row>
    <row r="790" spans="1:14" x14ac:dyDescent="0.3">
      <c r="A790" t="s">
        <v>22</v>
      </c>
      <c r="B790" t="s">
        <v>36</v>
      </c>
      <c r="C790" s="5">
        <v>2.78</v>
      </c>
      <c r="D790" s="7">
        <v>85</v>
      </c>
      <c r="E790" s="6">
        <v>5.25</v>
      </c>
      <c r="F790">
        <v>95</v>
      </c>
      <c r="G790" s="3">
        <v>45008.798611111109</v>
      </c>
      <c r="H790" s="3">
        <v>45008.857638888891</v>
      </c>
      <c r="K790" t="s">
        <v>24</v>
      </c>
      <c r="L790" t="s">
        <v>20</v>
      </c>
      <c r="M790" t="str">
        <f>VLOOKUP(Table1[[#This Row],[Job_Status]],$V$2:$W$4,2,FALSE)</f>
        <v>Defect</v>
      </c>
      <c r="N790" s="7">
        <f>VLOOKUP(Table1[[#This Row],[Job_Status]],$V$2:$X$4,3,FALSE)</f>
        <v>100</v>
      </c>
    </row>
    <row r="791" spans="1:14" x14ac:dyDescent="0.3">
      <c r="A791" t="s">
        <v>30</v>
      </c>
      <c r="B791" t="s">
        <v>15</v>
      </c>
      <c r="C791" s="5">
        <v>4.76</v>
      </c>
      <c r="D791" s="7">
        <v>25</v>
      </c>
      <c r="E791" s="6">
        <v>13.34</v>
      </c>
      <c r="F791">
        <v>97</v>
      </c>
      <c r="G791" s="3">
        <v>45008.805555555555</v>
      </c>
      <c r="H791" s="3">
        <v>45008.822916666664</v>
      </c>
      <c r="K791" t="s">
        <v>24</v>
      </c>
      <c r="L791" t="s">
        <v>20</v>
      </c>
      <c r="M791" t="str">
        <f>VLOOKUP(Table1[[#This Row],[Job_Status]],$V$2:$W$4,2,FALSE)</f>
        <v>Defect</v>
      </c>
      <c r="N791" s="7">
        <f>VLOOKUP(Table1[[#This Row],[Job_Status]],$V$2:$X$4,3,FALSE)</f>
        <v>100</v>
      </c>
    </row>
    <row r="792" spans="1:14" x14ac:dyDescent="0.3">
      <c r="A792" t="s">
        <v>34</v>
      </c>
      <c r="B792" t="s">
        <v>32</v>
      </c>
      <c r="C792" s="5">
        <v>4.43</v>
      </c>
      <c r="D792" s="7">
        <v>28</v>
      </c>
      <c r="E792" s="6">
        <v>8.66</v>
      </c>
      <c r="F792">
        <v>98</v>
      </c>
      <c r="G792" s="3">
        <v>45008.8125</v>
      </c>
      <c r="H792" s="3">
        <v>45008.831944444442</v>
      </c>
      <c r="I792" s="3">
        <v>45008.809027777781</v>
      </c>
      <c r="J792" s="3">
        <v>45008.828472222223</v>
      </c>
      <c r="K792" t="s">
        <v>16</v>
      </c>
      <c r="L792" t="s">
        <v>20</v>
      </c>
      <c r="M792" t="str">
        <f>VLOOKUP(Table1[[#This Row],[Job_Status]],$V$2:$W$4,2,FALSE)</f>
        <v>Good</v>
      </c>
      <c r="N792" s="7">
        <f>VLOOKUP(Table1[[#This Row],[Job_Status]],$V$2:$X$4,3,FALSE)</f>
        <v>0</v>
      </c>
    </row>
    <row r="793" spans="1:14" x14ac:dyDescent="0.3">
      <c r="A793" t="s">
        <v>40</v>
      </c>
      <c r="B793" t="s">
        <v>23</v>
      </c>
      <c r="C793" s="5">
        <v>3.15</v>
      </c>
      <c r="D793" s="7">
        <v>106</v>
      </c>
      <c r="E793" s="6">
        <v>3.13</v>
      </c>
      <c r="F793">
        <v>92</v>
      </c>
      <c r="G793" s="3">
        <v>45008.819444444445</v>
      </c>
      <c r="H793" s="3">
        <v>45008.893055555556</v>
      </c>
      <c r="I793" s="3">
        <v>45008.816666666666</v>
      </c>
      <c r="J793" s="3">
        <v>45008.890277777777</v>
      </c>
      <c r="K793" t="s">
        <v>16</v>
      </c>
      <c r="L793" t="s">
        <v>20</v>
      </c>
      <c r="M793" t="str">
        <f>VLOOKUP(Table1[[#This Row],[Job_Status]],$V$2:$W$4,2,FALSE)</f>
        <v>Good</v>
      </c>
      <c r="N793" s="7">
        <f>VLOOKUP(Table1[[#This Row],[Job_Status]],$V$2:$X$4,3,FALSE)</f>
        <v>0</v>
      </c>
    </row>
    <row r="794" spans="1:14" x14ac:dyDescent="0.3">
      <c r="A794" t="s">
        <v>22</v>
      </c>
      <c r="B794" t="s">
        <v>23</v>
      </c>
      <c r="C794" s="5">
        <v>4.97</v>
      </c>
      <c r="D794" s="7">
        <v>70</v>
      </c>
      <c r="E794" s="6">
        <v>4.08</v>
      </c>
      <c r="F794">
        <v>93</v>
      </c>
      <c r="G794" s="3">
        <v>45008.826388888891</v>
      </c>
      <c r="H794" s="3">
        <v>45008.875</v>
      </c>
      <c r="I794" s="3">
        <v>45008.82916666667</v>
      </c>
      <c r="J794" s="3">
        <v>45008.87777777778</v>
      </c>
      <c r="K794" t="s">
        <v>16</v>
      </c>
      <c r="L794" t="s">
        <v>28</v>
      </c>
      <c r="M794" t="str">
        <f>VLOOKUP(Table1[[#This Row],[Job_Status]],$V$2:$W$4,2,FALSE)</f>
        <v>Good</v>
      </c>
      <c r="N794" s="7">
        <f>VLOOKUP(Table1[[#This Row],[Job_Status]],$V$2:$X$4,3,FALSE)</f>
        <v>0</v>
      </c>
    </row>
    <row r="795" spans="1:14" x14ac:dyDescent="0.3">
      <c r="A795" t="s">
        <v>40</v>
      </c>
      <c r="B795" t="s">
        <v>32</v>
      </c>
      <c r="C795" s="5">
        <v>1.41</v>
      </c>
      <c r="D795" s="7">
        <v>99</v>
      </c>
      <c r="E795" s="6">
        <v>8.8000000000000007</v>
      </c>
      <c r="F795">
        <v>90</v>
      </c>
      <c r="G795" s="3">
        <v>45008.833333333336</v>
      </c>
      <c r="H795" s="3">
        <v>45008.902083333334</v>
      </c>
      <c r="I795" s="3">
        <v>45008.831250000003</v>
      </c>
      <c r="J795" s="3">
        <v>45008.9</v>
      </c>
      <c r="K795" t="s">
        <v>16</v>
      </c>
      <c r="L795" t="s">
        <v>20</v>
      </c>
      <c r="M795" t="str">
        <f>VLOOKUP(Table1[[#This Row],[Job_Status]],$V$2:$W$4,2,FALSE)</f>
        <v>Good</v>
      </c>
      <c r="N795" s="7">
        <f>VLOOKUP(Table1[[#This Row],[Job_Status]],$V$2:$X$4,3,FALSE)</f>
        <v>0</v>
      </c>
    </row>
    <row r="796" spans="1:14" x14ac:dyDescent="0.3">
      <c r="A796" t="s">
        <v>34</v>
      </c>
      <c r="B796" t="s">
        <v>32</v>
      </c>
      <c r="C796" s="5">
        <v>3.28</v>
      </c>
      <c r="D796" s="7">
        <v>93</v>
      </c>
      <c r="E796" s="6">
        <v>6.66</v>
      </c>
      <c r="F796">
        <v>80</v>
      </c>
      <c r="G796" s="3">
        <v>45008.840277777781</v>
      </c>
      <c r="H796" s="3">
        <v>45008.904861111114</v>
      </c>
      <c r="I796" s="3">
        <v>45008.861111111109</v>
      </c>
      <c r="J796" s="3">
        <v>45008.925694444442</v>
      </c>
      <c r="K796" t="s">
        <v>19</v>
      </c>
      <c r="L796" t="s">
        <v>20</v>
      </c>
      <c r="M796" t="str">
        <f>VLOOKUP(Table1[[#This Row],[Job_Status]],$V$2:$W$4,2,FALSE)</f>
        <v>Good</v>
      </c>
      <c r="N796" s="7">
        <f>VLOOKUP(Table1[[#This Row],[Job_Status]],$V$2:$X$4,3,FALSE)</f>
        <v>0</v>
      </c>
    </row>
    <row r="797" spans="1:14" x14ac:dyDescent="0.3">
      <c r="A797" t="s">
        <v>14</v>
      </c>
      <c r="B797" t="s">
        <v>36</v>
      </c>
      <c r="C797" s="5">
        <v>4.17</v>
      </c>
      <c r="D797" s="7">
        <v>109</v>
      </c>
      <c r="E797" s="6">
        <v>3.07</v>
      </c>
      <c r="F797">
        <v>88</v>
      </c>
      <c r="G797" s="3">
        <v>45008.847222222219</v>
      </c>
      <c r="H797" s="3">
        <v>45008.92291666667</v>
      </c>
      <c r="I797" s="3">
        <v>45008.85833333333</v>
      </c>
      <c r="J797" s="3">
        <v>45008.934027777781</v>
      </c>
      <c r="K797" t="s">
        <v>19</v>
      </c>
      <c r="L797" t="s">
        <v>20</v>
      </c>
      <c r="M797" t="str">
        <f>VLOOKUP(Table1[[#This Row],[Job_Status]],$V$2:$W$4,2,FALSE)</f>
        <v>Good</v>
      </c>
      <c r="N797" s="7">
        <f>VLOOKUP(Table1[[#This Row],[Job_Status]],$V$2:$X$4,3,FALSE)</f>
        <v>0</v>
      </c>
    </row>
    <row r="798" spans="1:14" x14ac:dyDescent="0.3">
      <c r="A798" t="s">
        <v>14</v>
      </c>
      <c r="B798" t="s">
        <v>15</v>
      </c>
      <c r="C798" s="5">
        <v>3.76</v>
      </c>
      <c r="D798" s="7">
        <v>119</v>
      </c>
      <c r="E798" s="6">
        <v>11.52</v>
      </c>
      <c r="F798">
        <v>97</v>
      </c>
      <c r="G798" s="3">
        <v>45008.854166666664</v>
      </c>
      <c r="H798" s="3">
        <v>45008.936805555553</v>
      </c>
      <c r="K798" t="s">
        <v>24</v>
      </c>
      <c r="L798" t="s">
        <v>20</v>
      </c>
      <c r="M798" t="str">
        <f>VLOOKUP(Table1[[#This Row],[Job_Status]],$V$2:$W$4,2,FALSE)</f>
        <v>Defect</v>
      </c>
      <c r="N798" s="7">
        <f>VLOOKUP(Table1[[#This Row],[Job_Status]],$V$2:$X$4,3,FALSE)</f>
        <v>100</v>
      </c>
    </row>
    <row r="799" spans="1:14" x14ac:dyDescent="0.3">
      <c r="A799" t="s">
        <v>30</v>
      </c>
      <c r="B799" t="s">
        <v>27</v>
      </c>
      <c r="C799" s="5">
        <v>4.21</v>
      </c>
      <c r="D799" s="7">
        <v>99</v>
      </c>
      <c r="E799" s="6">
        <v>2.67</v>
      </c>
      <c r="F799">
        <v>94</v>
      </c>
      <c r="G799" s="3">
        <v>45008.861111111109</v>
      </c>
      <c r="H799" s="3">
        <v>45008.929861111108</v>
      </c>
      <c r="I799" s="3">
        <v>45008.868750000001</v>
      </c>
      <c r="J799" s="3">
        <v>45008.9375</v>
      </c>
      <c r="K799" t="s">
        <v>19</v>
      </c>
      <c r="L799" t="s">
        <v>20</v>
      </c>
      <c r="M799" t="str">
        <f>VLOOKUP(Table1[[#This Row],[Job_Status]],$V$2:$W$4,2,FALSE)</f>
        <v>Good</v>
      </c>
      <c r="N799" s="7">
        <f>VLOOKUP(Table1[[#This Row],[Job_Status]],$V$2:$X$4,3,FALSE)</f>
        <v>0</v>
      </c>
    </row>
    <row r="800" spans="1:14" x14ac:dyDescent="0.3">
      <c r="A800" t="s">
        <v>40</v>
      </c>
      <c r="B800" t="s">
        <v>32</v>
      </c>
      <c r="C800" s="5">
        <v>3.76</v>
      </c>
      <c r="D800" s="7">
        <v>44</v>
      </c>
      <c r="E800" s="6">
        <v>10.31</v>
      </c>
      <c r="F800">
        <v>89</v>
      </c>
      <c r="G800" s="3">
        <v>45008.868055555555</v>
      </c>
      <c r="H800" s="3">
        <v>45008.898611111108</v>
      </c>
      <c r="I800" s="3">
        <v>45008.871527777781</v>
      </c>
      <c r="J800" s="3">
        <v>45008.902083333334</v>
      </c>
      <c r="K800" t="s">
        <v>16</v>
      </c>
      <c r="L800" t="s">
        <v>17</v>
      </c>
      <c r="M800" t="str">
        <f>VLOOKUP(Table1[[#This Row],[Job_Status]],$V$2:$W$4,2,FALSE)</f>
        <v>Good</v>
      </c>
      <c r="N800" s="7">
        <f>VLOOKUP(Table1[[#This Row],[Job_Status]],$V$2:$X$4,3,FALSE)</f>
        <v>0</v>
      </c>
    </row>
    <row r="801" spans="1:14" x14ac:dyDescent="0.3">
      <c r="A801" t="s">
        <v>34</v>
      </c>
      <c r="B801" t="s">
        <v>32</v>
      </c>
      <c r="C801" s="5">
        <v>4.7300000000000004</v>
      </c>
      <c r="D801" s="7">
        <v>104</v>
      </c>
      <c r="E801" s="6">
        <v>7.42</v>
      </c>
      <c r="F801">
        <v>95</v>
      </c>
      <c r="G801" s="3">
        <v>45008.875</v>
      </c>
      <c r="H801" s="3">
        <v>45008.947222222225</v>
      </c>
      <c r="I801" s="3">
        <v>45008.884027777778</v>
      </c>
      <c r="J801" s="3">
        <v>45008.956250000003</v>
      </c>
      <c r="K801" t="s">
        <v>19</v>
      </c>
      <c r="L801" t="s">
        <v>20</v>
      </c>
      <c r="M801" t="str">
        <f>VLOOKUP(Table1[[#This Row],[Job_Status]],$V$2:$W$4,2,FALSE)</f>
        <v>Good</v>
      </c>
      <c r="N801" s="7">
        <f>VLOOKUP(Table1[[#This Row],[Job_Status]],$V$2:$X$4,3,FALSE)</f>
        <v>0</v>
      </c>
    </row>
    <row r="802" spans="1:14" x14ac:dyDescent="0.3">
      <c r="A802" t="s">
        <v>14</v>
      </c>
      <c r="B802" t="s">
        <v>32</v>
      </c>
      <c r="C802" s="5">
        <v>1.56</v>
      </c>
      <c r="D802" s="7">
        <v>116</v>
      </c>
      <c r="E802" s="6">
        <v>10.24</v>
      </c>
      <c r="F802">
        <v>98</v>
      </c>
      <c r="G802" s="3">
        <v>45008.881944444445</v>
      </c>
      <c r="H802" s="3">
        <v>45008.962500000001</v>
      </c>
      <c r="I802" s="3">
        <v>45008.895138888889</v>
      </c>
      <c r="J802" s="3">
        <v>45008.975694444445</v>
      </c>
      <c r="K802" t="s">
        <v>19</v>
      </c>
      <c r="L802" t="s">
        <v>20</v>
      </c>
      <c r="M802" t="str">
        <f>VLOOKUP(Table1[[#This Row],[Job_Status]],$V$2:$W$4,2,FALSE)</f>
        <v>Good</v>
      </c>
      <c r="N802" s="7">
        <f>VLOOKUP(Table1[[#This Row],[Job_Status]],$V$2:$X$4,3,FALSE)</f>
        <v>0</v>
      </c>
    </row>
    <row r="803" spans="1:14" x14ac:dyDescent="0.3">
      <c r="A803" t="s">
        <v>40</v>
      </c>
      <c r="B803" t="s">
        <v>36</v>
      </c>
      <c r="C803" s="5">
        <v>1.73</v>
      </c>
      <c r="D803" s="7">
        <v>55</v>
      </c>
      <c r="E803" s="6">
        <v>9.06</v>
      </c>
      <c r="F803">
        <v>83</v>
      </c>
      <c r="G803" s="3">
        <v>45008.888888888891</v>
      </c>
      <c r="H803" s="3">
        <v>45008.927083333336</v>
      </c>
      <c r="I803" s="3">
        <v>45008.886111111111</v>
      </c>
      <c r="J803" s="3">
        <v>45008.924305555556</v>
      </c>
      <c r="K803" t="s">
        <v>16</v>
      </c>
      <c r="L803" t="s">
        <v>20</v>
      </c>
      <c r="M803" t="str">
        <f>VLOOKUP(Table1[[#This Row],[Job_Status]],$V$2:$W$4,2,FALSE)</f>
        <v>Good</v>
      </c>
      <c r="N803" s="7">
        <f>VLOOKUP(Table1[[#This Row],[Job_Status]],$V$2:$X$4,3,FALSE)</f>
        <v>0</v>
      </c>
    </row>
    <row r="804" spans="1:14" x14ac:dyDescent="0.3">
      <c r="A804" t="s">
        <v>14</v>
      </c>
      <c r="B804" t="s">
        <v>36</v>
      </c>
      <c r="C804" s="5">
        <v>2.4300000000000002</v>
      </c>
      <c r="D804" s="7">
        <v>114</v>
      </c>
      <c r="E804" s="6">
        <v>8.67</v>
      </c>
      <c r="F804">
        <v>83</v>
      </c>
      <c r="G804" s="3">
        <v>45008.895833333336</v>
      </c>
      <c r="H804" s="3">
        <v>45008.974999999999</v>
      </c>
      <c r="I804" s="3">
        <v>45008.895833333336</v>
      </c>
      <c r="J804" s="3">
        <v>45008.974999999999</v>
      </c>
      <c r="K804" t="s">
        <v>16</v>
      </c>
      <c r="L804" t="s">
        <v>28</v>
      </c>
      <c r="M804" t="str">
        <f>VLOOKUP(Table1[[#This Row],[Job_Status]],$V$2:$W$4,2,FALSE)</f>
        <v>Good</v>
      </c>
      <c r="N804" s="7">
        <f>VLOOKUP(Table1[[#This Row],[Job_Status]],$V$2:$X$4,3,FALSE)</f>
        <v>0</v>
      </c>
    </row>
    <row r="805" spans="1:14" x14ac:dyDescent="0.3">
      <c r="A805" t="s">
        <v>30</v>
      </c>
      <c r="B805" t="s">
        <v>23</v>
      </c>
      <c r="C805" s="5">
        <v>3.26</v>
      </c>
      <c r="D805" s="7">
        <v>104</v>
      </c>
      <c r="E805" s="6">
        <v>9.3000000000000007</v>
      </c>
      <c r="F805">
        <v>94</v>
      </c>
      <c r="G805" s="3">
        <v>45008.902777777781</v>
      </c>
      <c r="H805" s="3">
        <v>45008.974999999999</v>
      </c>
      <c r="K805" t="s">
        <v>24</v>
      </c>
      <c r="L805" t="s">
        <v>20</v>
      </c>
      <c r="M805" t="str">
        <f>VLOOKUP(Table1[[#This Row],[Job_Status]],$V$2:$W$4,2,FALSE)</f>
        <v>Defect</v>
      </c>
      <c r="N805" s="7">
        <f>VLOOKUP(Table1[[#This Row],[Job_Status]],$V$2:$X$4,3,FALSE)</f>
        <v>100</v>
      </c>
    </row>
    <row r="806" spans="1:14" x14ac:dyDescent="0.3">
      <c r="A806" t="s">
        <v>40</v>
      </c>
      <c r="B806" t="s">
        <v>32</v>
      </c>
      <c r="C806" s="5">
        <v>3.31</v>
      </c>
      <c r="D806" s="7">
        <v>34</v>
      </c>
      <c r="E806" s="6">
        <v>3.84</v>
      </c>
      <c r="F806">
        <v>92</v>
      </c>
      <c r="G806" s="3">
        <v>45008.909722222219</v>
      </c>
      <c r="H806" s="3">
        <v>45008.933333333334</v>
      </c>
      <c r="I806" s="3">
        <v>45008.906944444447</v>
      </c>
      <c r="J806" s="3">
        <v>45008.930555555555</v>
      </c>
      <c r="K806" t="s">
        <v>16</v>
      </c>
      <c r="L806" t="s">
        <v>20</v>
      </c>
      <c r="M806" t="str">
        <f>VLOOKUP(Table1[[#This Row],[Job_Status]],$V$2:$W$4,2,FALSE)</f>
        <v>Good</v>
      </c>
      <c r="N806" s="7">
        <f>VLOOKUP(Table1[[#This Row],[Job_Status]],$V$2:$X$4,3,FALSE)</f>
        <v>0</v>
      </c>
    </row>
    <row r="807" spans="1:14" x14ac:dyDescent="0.3">
      <c r="A807" t="s">
        <v>40</v>
      </c>
      <c r="B807" t="s">
        <v>36</v>
      </c>
      <c r="C807" s="5">
        <v>3.95</v>
      </c>
      <c r="D807" s="7">
        <v>54</v>
      </c>
      <c r="E807" s="6">
        <v>8.32</v>
      </c>
      <c r="F807">
        <v>97</v>
      </c>
      <c r="G807" s="3">
        <v>45008.916666666664</v>
      </c>
      <c r="H807" s="3">
        <v>45008.95416666667</v>
      </c>
      <c r="I807" s="3">
        <v>45008.920138888891</v>
      </c>
      <c r="J807" s="3">
        <v>45008.957638888889</v>
      </c>
      <c r="K807" t="s">
        <v>16</v>
      </c>
      <c r="L807" t="s">
        <v>17</v>
      </c>
      <c r="M807" t="str">
        <f>VLOOKUP(Table1[[#This Row],[Job_Status]],$V$2:$W$4,2,FALSE)</f>
        <v>Good</v>
      </c>
      <c r="N807" s="7">
        <f>VLOOKUP(Table1[[#This Row],[Job_Status]],$V$2:$X$4,3,FALSE)</f>
        <v>0</v>
      </c>
    </row>
    <row r="808" spans="1:14" x14ac:dyDescent="0.3">
      <c r="A808" t="s">
        <v>30</v>
      </c>
      <c r="B808" t="s">
        <v>15</v>
      </c>
      <c r="C808" s="5">
        <v>4.33</v>
      </c>
      <c r="D808" s="7">
        <v>110</v>
      </c>
      <c r="E808" s="6">
        <v>2.38</v>
      </c>
      <c r="F808">
        <v>91</v>
      </c>
      <c r="G808" s="3">
        <v>45008.923611111109</v>
      </c>
      <c r="H808" s="3">
        <v>45009</v>
      </c>
      <c r="I808" s="3">
        <v>45008.920138888891</v>
      </c>
      <c r="J808" s="3">
        <v>45008.996527777781</v>
      </c>
      <c r="K808" t="s">
        <v>16</v>
      </c>
      <c r="L808" t="s">
        <v>20</v>
      </c>
      <c r="M808" t="str">
        <f>VLOOKUP(Table1[[#This Row],[Job_Status]],$V$2:$W$4,2,FALSE)</f>
        <v>Good</v>
      </c>
      <c r="N808" s="7">
        <f>VLOOKUP(Table1[[#This Row],[Job_Status]],$V$2:$X$4,3,FALSE)</f>
        <v>0</v>
      </c>
    </row>
    <row r="809" spans="1:14" x14ac:dyDescent="0.3">
      <c r="A809" t="s">
        <v>34</v>
      </c>
      <c r="B809" t="s">
        <v>32</v>
      </c>
      <c r="C809" s="5">
        <v>4.1100000000000003</v>
      </c>
      <c r="D809" s="7">
        <v>99</v>
      </c>
      <c r="E809" s="6">
        <v>7.53</v>
      </c>
      <c r="F809">
        <v>85</v>
      </c>
      <c r="G809" s="3">
        <v>45008.930555555555</v>
      </c>
      <c r="H809" s="3">
        <v>45008.999305555553</v>
      </c>
      <c r="I809" s="3">
        <v>45008.928472222222</v>
      </c>
      <c r="J809" s="3">
        <v>45008.99722222222</v>
      </c>
      <c r="K809" t="s">
        <v>16</v>
      </c>
      <c r="L809" t="s">
        <v>20</v>
      </c>
      <c r="M809" t="str">
        <f>VLOOKUP(Table1[[#This Row],[Job_Status]],$V$2:$W$4,2,FALSE)</f>
        <v>Good</v>
      </c>
      <c r="N809" s="7">
        <f>VLOOKUP(Table1[[#This Row],[Job_Status]],$V$2:$X$4,3,FALSE)</f>
        <v>0</v>
      </c>
    </row>
    <row r="810" spans="1:14" x14ac:dyDescent="0.3">
      <c r="A810" t="s">
        <v>34</v>
      </c>
      <c r="B810" t="s">
        <v>36</v>
      </c>
      <c r="C810" s="5">
        <v>4.7300000000000004</v>
      </c>
      <c r="D810" s="7">
        <v>114</v>
      </c>
      <c r="E810" s="6">
        <v>10.93</v>
      </c>
      <c r="F810">
        <v>84</v>
      </c>
      <c r="G810" s="3">
        <v>45008.9375</v>
      </c>
      <c r="H810" s="3">
        <v>45009.01666666667</v>
      </c>
      <c r="I810" s="3">
        <v>45008.934027777781</v>
      </c>
      <c r="J810" s="3">
        <v>45009.013194444444</v>
      </c>
      <c r="K810" t="s">
        <v>16</v>
      </c>
      <c r="L810" t="s">
        <v>20</v>
      </c>
      <c r="M810" t="str">
        <f>VLOOKUP(Table1[[#This Row],[Job_Status]],$V$2:$W$4,2,FALSE)</f>
        <v>Good</v>
      </c>
      <c r="N810" s="7">
        <f>VLOOKUP(Table1[[#This Row],[Job_Status]],$V$2:$X$4,3,FALSE)</f>
        <v>0</v>
      </c>
    </row>
    <row r="811" spans="1:14" x14ac:dyDescent="0.3">
      <c r="A811" t="s">
        <v>14</v>
      </c>
      <c r="B811" t="s">
        <v>23</v>
      </c>
      <c r="C811" s="5">
        <v>1.57</v>
      </c>
      <c r="D811" s="7">
        <v>93</v>
      </c>
      <c r="E811" s="6">
        <v>5.43</v>
      </c>
      <c r="F811">
        <v>89</v>
      </c>
      <c r="G811" s="3">
        <v>45008.944444444445</v>
      </c>
      <c r="H811" s="3">
        <v>45009.009027777778</v>
      </c>
      <c r="I811" s="3">
        <v>45008.940972222219</v>
      </c>
      <c r="J811" s="3">
        <v>45009.005555555559</v>
      </c>
      <c r="K811" t="s">
        <v>16</v>
      </c>
      <c r="L811" t="s">
        <v>20</v>
      </c>
      <c r="M811" t="str">
        <f>VLOOKUP(Table1[[#This Row],[Job_Status]],$V$2:$W$4,2,FALSE)</f>
        <v>Good</v>
      </c>
      <c r="N811" s="7">
        <f>VLOOKUP(Table1[[#This Row],[Job_Status]],$V$2:$X$4,3,FALSE)</f>
        <v>0</v>
      </c>
    </row>
    <row r="812" spans="1:14" x14ac:dyDescent="0.3">
      <c r="A812" t="s">
        <v>22</v>
      </c>
      <c r="B812" t="s">
        <v>36</v>
      </c>
      <c r="C812" s="5">
        <v>2.93</v>
      </c>
      <c r="D812" s="7">
        <v>84</v>
      </c>
      <c r="E812" s="6">
        <v>3.53</v>
      </c>
      <c r="F812">
        <v>86</v>
      </c>
      <c r="G812" s="3">
        <v>45008.951388888891</v>
      </c>
      <c r="H812" s="3">
        <v>45009.009722222225</v>
      </c>
      <c r="I812" s="3">
        <v>45008.95</v>
      </c>
      <c r="J812" s="3">
        <v>45009.008333333331</v>
      </c>
      <c r="K812" t="s">
        <v>16</v>
      </c>
      <c r="L812" t="s">
        <v>20</v>
      </c>
      <c r="M812" t="str">
        <f>VLOOKUP(Table1[[#This Row],[Job_Status]],$V$2:$W$4,2,FALSE)</f>
        <v>Good</v>
      </c>
      <c r="N812" s="7">
        <f>VLOOKUP(Table1[[#This Row],[Job_Status]],$V$2:$X$4,3,FALSE)</f>
        <v>0</v>
      </c>
    </row>
    <row r="813" spans="1:14" x14ac:dyDescent="0.3">
      <c r="A813" t="s">
        <v>14</v>
      </c>
      <c r="B813" t="s">
        <v>36</v>
      </c>
      <c r="C813" s="5">
        <v>1.25</v>
      </c>
      <c r="D813" s="7">
        <v>29</v>
      </c>
      <c r="E813" s="6">
        <v>7.98</v>
      </c>
      <c r="F813">
        <v>92</v>
      </c>
      <c r="G813" s="3">
        <v>45008.958333333336</v>
      </c>
      <c r="H813" s="3">
        <v>45008.978472222225</v>
      </c>
      <c r="I813" s="3">
        <v>45008.961805555555</v>
      </c>
      <c r="J813" s="3">
        <v>45008.981944444444</v>
      </c>
      <c r="K813" t="s">
        <v>16</v>
      </c>
      <c r="L813" t="s">
        <v>17</v>
      </c>
      <c r="M813" t="str">
        <f>VLOOKUP(Table1[[#This Row],[Job_Status]],$V$2:$W$4,2,FALSE)</f>
        <v>Good</v>
      </c>
      <c r="N813" s="7">
        <f>VLOOKUP(Table1[[#This Row],[Job_Status]],$V$2:$X$4,3,FALSE)</f>
        <v>0</v>
      </c>
    </row>
    <row r="814" spans="1:14" x14ac:dyDescent="0.3">
      <c r="A814" t="s">
        <v>34</v>
      </c>
      <c r="B814" t="s">
        <v>36</v>
      </c>
      <c r="C814" s="5">
        <v>2.37</v>
      </c>
      <c r="D814" s="7">
        <v>24</v>
      </c>
      <c r="E814" s="6">
        <v>10.78</v>
      </c>
      <c r="F814">
        <v>88</v>
      </c>
      <c r="G814" s="3">
        <v>45008.965277777781</v>
      </c>
      <c r="H814" s="3">
        <v>45008.981944444444</v>
      </c>
      <c r="I814" s="3">
        <v>45008.968055555553</v>
      </c>
      <c r="J814" s="3">
        <v>45008.984722222223</v>
      </c>
      <c r="K814" t="s">
        <v>16</v>
      </c>
      <c r="L814" t="s">
        <v>17</v>
      </c>
      <c r="M814" t="str">
        <f>VLOOKUP(Table1[[#This Row],[Job_Status]],$V$2:$W$4,2,FALSE)</f>
        <v>Good</v>
      </c>
      <c r="N814" s="7">
        <f>VLOOKUP(Table1[[#This Row],[Job_Status]],$V$2:$X$4,3,FALSE)</f>
        <v>0</v>
      </c>
    </row>
    <row r="815" spans="1:14" x14ac:dyDescent="0.3">
      <c r="A815" t="s">
        <v>34</v>
      </c>
      <c r="B815" t="s">
        <v>15</v>
      </c>
      <c r="C815" s="5">
        <v>1.86</v>
      </c>
      <c r="D815" s="7">
        <v>119</v>
      </c>
      <c r="E815" s="6">
        <v>3.48</v>
      </c>
      <c r="F815">
        <v>95</v>
      </c>
      <c r="G815" s="3">
        <v>45008.972222222219</v>
      </c>
      <c r="H815" s="3">
        <v>45009.054861111108</v>
      </c>
      <c r="I815" s="3">
        <v>45008.972916666666</v>
      </c>
      <c r="J815" s="3">
        <v>45009.055555555555</v>
      </c>
      <c r="K815" t="s">
        <v>16</v>
      </c>
      <c r="L815" t="s">
        <v>28</v>
      </c>
      <c r="M815" t="str">
        <f>VLOOKUP(Table1[[#This Row],[Job_Status]],$V$2:$W$4,2,FALSE)</f>
        <v>Good</v>
      </c>
      <c r="N815" s="7">
        <f>VLOOKUP(Table1[[#This Row],[Job_Status]],$V$2:$X$4,3,FALSE)</f>
        <v>0</v>
      </c>
    </row>
    <row r="816" spans="1:14" x14ac:dyDescent="0.3">
      <c r="A816" t="s">
        <v>30</v>
      </c>
      <c r="B816" t="s">
        <v>23</v>
      </c>
      <c r="C816" s="5">
        <v>3.83</v>
      </c>
      <c r="D816" s="7">
        <v>104</v>
      </c>
      <c r="E816" s="6">
        <v>14.05</v>
      </c>
      <c r="F816">
        <v>91</v>
      </c>
      <c r="G816" s="3">
        <v>45008.979166666664</v>
      </c>
      <c r="H816" s="3">
        <v>45009.051388888889</v>
      </c>
      <c r="I816" s="3">
        <v>45008.977083333331</v>
      </c>
      <c r="J816" s="3">
        <v>45009.049305555556</v>
      </c>
      <c r="K816" t="s">
        <v>16</v>
      </c>
      <c r="L816" t="s">
        <v>20</v>
      </c>
      <c r="M816" t="str">
        <f>VLOOKUP(Table1[[#This Row],[Job_Status]],$V$2:$W$4,2,FALSE)</f>
        <v>Good</v>
      </c>
      <c r="N816" s="7">
        <f>VLOOKUP(Table1[[#This Row],[Job_Status]],$V$2:$X$4,3,FALSE)</f>
        <v>0</v>
      </c>
    </row>
    <row r="817" spans="1:14" x14ac:dyDescent="0.3">
      <c r="A817" t="s">
        <v>22</v>
      </c>
      <c r="B817" t="s">
        <v>36</v>
      </c>
      <c r="C817" s="5">
        <v>2.35</v>
      </c>
      <c r="D817" s="7">
        <v>103</v>
      </c>
      <c r="E817" s="6">
        <v>4.9400000000000004</v>
      </c>
      <c r="F817">
        <v>85</v>
      </c>
      <c r="G817" s="3">
        <v>45008.986111111109</v>
      </c>
      <c r="H817" s="3">
        <v>45009.057638888888</v>
      </c>
      <c r="K817" t="s">
        <v>24</v>
      </c>
      <c r="L817" t="s">
        <v>20</v>
      </c>
      <c r="M817" t="str">
        <f>VLOOKUP(Table1[[#This Row],[Job_Status]],$V$2:$W$4,2,FALSE)</f>
        <v>Defect</v>
      </c>
      <c r="N817" s="7">
        <f>VLOOKUP(Table1[[#This Row],[Job_Status]],$V$2:$X$4,3,FALSE)</f>
        <v>100</v>
      </c>
    </row>
    <row r="818" spans="1:14" x14ac:dyDescent="0.3">
      <c r="A818" t="s">
        <v>34</v>
      </c>
      <c r="B818" t="s">
        <v>32</v>
      </c>
      <c r="C818" s="5">
        <v>3.58</v>
      </c>
      <c r="D818" s="7">
        <v>34</v>
      </c>
      <c r="E818" s="6">
        <v>14.45</v>
      </c>
      <c r="F818">
        <v>96</v>
      </c>
      <c r="G818" s="3">
        <v>45008.993055555555</v>
      </c>
      <c r="H818" s="3">
        <v>45009.01666666667</v>
      </c>
      <c r="I818" s="3">
        <v>45008.995138888888</v>
      </c>
      <c r="J818" s="3">
        <v>45009.018750000003</v>
      </c>
      <c r="K818" t="s">
        <v>16</v>
      </c>
      <c r="L818" t="s">
        <v>17</v>
      </c>
      <c r="M818" t="str">
        <f>VLOOKUP(Table1[[#This Row],[Job_Status]],$V$2:$W$4,2,FALSE)</f>
        <v>Good</v>
      </c>
      <c r="N818" s="7">
        <f>VLOOKUP(Table1[[#This Row],[Job_Status]],$V$2:$X$4,3,FALSE)</f>
        <v>0</v>
      </c>
    </row>
    <row r="819" spans="1:14" x14ac:dyDescent="0.3">
      <c r="A819" t="s">
        <v>30</v>
      </c>
      <c r="B819" t="s">
        <v>36</v>
      </c>
      <c r="C819" s="5">
        <v>1.46</v>
      </c>
      <c r="D819" s="7">
        <v>66</v>
      </c>
      <c r="E819" s="6">
        <v>3.12</v>
      </c>
      <c r="F819">
        <v>95</v>
      </c>
      <c r="G819" s="3">
        <v>45009</v>
      </c>
      <c r="H819" s="3">
        <v>45009.04583333333</v>
      </c>
      <c r="I819" s="3">
        <v>45008.996527777781</v>
      </c>
      <c r="J819" s="3">
        <v>45009.042361111111</v>
      </c>
      <c r="K819" t="s">
        <v>16</v>
      </c>
      <c r="L819" t="s">
        <v>20</v>
      </c>
      <c r="M819" t="str">
        <f>VLOOKUP(Table1[[#This Row],[Job_Status]],$V$2:$W$4,2,FALSE)</f>
        <v>Good</v>
      </c>
      <c r="N819" s="7">
        <f>VLOOKUP(Table1[[#This Row],[Job_Status]],$V$2:$X$4,3,FALSE)</f>
        <v>0</v>
      </c>
    </row>
    <row r="820" spans="1:14" x14ac:dyDescent="0.3">
      <c r="A820" t="s">
        <v>14</v>
      </c>
      <c r="B820" t="s">
        <v>15</v>
      </c>
      <c r="C820" s="5">
        <v>4.3899999999999997</v>
      </c>
      <c r="D820" s="7">
        <v>61</v>
      </c>
      <c r="E820" s="6">
        <v>11.59</v>
      </c>
      <c r="F820">
        <v>84</v>
      </c>
      <c r="G820" s="3">
        <v>45009.006944444445</v>
      </c>
      <c r="H820" s="3">
        <v>45009.049305555556</v>
      </c>
      <c r="I820" s="3">
        <v>45009.004861111112</v>
      </c>
      <c r="J820" s="3">
        <v>45009.047222222223</v>
      </c>
      <c r="K820" t="s">
        <v>16</v>
      </c>
      <c r="L820" t="s">
        <v>20</v>
      </c>
      <c r="M820" t="str">
        <f>VLOOKUP(Table1[[#This Row],[Job_Status]],$V$2:$W$4,2,FALSE)</f>
        <v>Good</v>
      </c>
      <c r="N820" s="7">
        <f>VLOOKUP(Table1[[#This Row],[Job_Status]],$V$2:$X$4,3,FALSE)</f>
        <v>0</v>
      </c>
    </row>
    <row r="821" spans="1:14" x14ac:dyDescent="0.3">
      <c r="A821" t="s">
        <v>34</v>
      </c>
      <c r="B821" t="s">
        <v>32</v>
      </c>
      <c r="C821" s="5">
        <v>2.54</v>
      </c>
      <c r="D821" s="7">
        <v>72</v>
      </c>
      <c r="E821" s="6">
        <v>7.28</v>
      </c>
      <c r="F821">
        <v>81</v>
      </c>
      <c r="G821" s="3">
        <v>45009.013888888891</v>
      </c>
      <c r="H821" s="3">
        <v>45009.063888888886</v>
      </c>
      <c r="I821" s="3">
        <v>45009.017361111109</v>
      </c>
      <c r="J821" s="3">
        <v>45009.067361111112</v>
      </c>
      <c r="K821" t="s">
        <v>16</v>
      </c>
      <c r="L821" t="s">
        <v>17</v>
      </c>
      <c r="M821" t="str">
        <f>VLOOKUP(Table1[[#This Row],[Job_Status]],$V$2:$W$4,2,FALSE)</f>
        <v>Good</v>
      </c>
      <c r="N821" s="7">
        <f>VLOOKUP(Table1[[#This Row],[Job_Status]],$V$2:$X$4,3,FALSE)</f>
        <v>0</v>
      </c>
    </row>
    <row r="822" spans="1:14" x14ac:dyDescent="0.3">
      <c r="A822" t="s">
        <v>22</v>
      </c>
      <c r="B822" t="s">
        <v>27</v>
      </c>
      <c r="C822" s="5">
        <v>3.44</v>
      </c>
      <c r="D822" s="7">
        <v>109</v>
      </c>
      <c r="E822" s="6">
        <v>13.79</v>
      </c>
      <c r="F822">
        <v>85</v>
      </c>
      <c r="G822" s="3">
        <v>45009.020833333336</v>
      </c>
      <c r="H822" s="3">
        <v>45009.09652777778</v>
      </c>
      <c r="I822" s="3">
        <v>45009.036111111112</v>
      </c>
      <c r="J822" s="3">
        <v>45009.111805555556</v>
      </c>
      <c r="K822" t="s">
        <v>19</v>
      </c>
      <c r="L822" t="s">
        <v>20</v>
      </c>
      <c r="M822" t="str">
        <f>VLOOKUP(Table1[[#This Row],[Job_Status]],$V$2:$W$4,2,FALSE)</f>
        <v>Good</v>
      </c>
      <c r="N822" s="7">
        <f>VLOOKUP(Table1[[#This Row],[Job_Status]],$V$2:$X$4,3,FALSE)</f>
        <v>0</v>
      </c>
    </row>
    <row r="823" spans="1:14" x14ac:dyDescent="0.3">
      <c r="A823" t="s">
        <v>22</v>
      </c>
      <c r="B823" t="s">
        <v>36</v>
      </c>
      <c r="C823" s="5">
        <v>4.17</v>
      </c>
      <c r="D823" s="7">
        <v>24</v>
      </c>
      <c r="E823" s="6">
        <v>8.58</v>
      </c>
      <c r="F823">
        <v>92</v>
      </c>
      <c r="G823" s="3">
        <v>45009.027777777781</v>
      </c>
      <c r="H823" s="3">
        <v>45009.044444444444</v>
      </c>
      <c r="I823" s="3">
        <v>45009.030555555553</v>
      </c>
      <c r="J823" s="3">
        <v>45009.047222222223</v>
      </c>
      <c r="K823" t="s">
        <v>16</v>
      </c>
      <c r="L823" t="s">
        <v>17</v>
      </c>
      <c r="M823" t="str">
        <f>VLOOKUP(Table1[[#This Row],[Job_Status]],$V$2:$W$4,2,FALSE)</f>
        <v>Good</v>
      </c>
      <c r="N823" s="7">
        <f>VLOOKUP(Table1[[#This Row],[Job_Status]],$V$2:$X$4,3,FALSE)</f>
        <v>0</v>
      </c>
    </row>
    <row r="824" spans="1:14" x14ac:dyDescent="0.3">
      <c r="A824" t="s">
        <v>14</v>
      </c>
      <c r="B824" t="s">
        <v>36</v>
      </c>
      <c r="C824" s="5">
        <v>4.96</v>
      </c>
      <c r="D824" s="7">
        <v>90</v>
      </c>
      <c r="E824" s="6">
        <v>12.86</v>
      </c>
      <c r="F824">
        <v>97</v>
      </c>
      <c r="G824" s="3">
        <v>45009.034722222219</v>
      </c>
      <c r="H824" s="3">
        <v>45009.097222222219</v>
      </c>
      <c r="I824" s="3">
        <v>45009.03402777778</v>
      </c>
      <c r="J824" s="3">
        <v>45009.09652777778</v>
      </c>
      <c r="K824" t="s">
        <v>16</v>
      </c>
      <c r="L824" t="s">
        <v>20</v>
      </c>
      <c r="M824" t="str">
        <f>VLOOKUP(Table1[[#This Row],[Job_Status]],$V$2:$W$4,2,FALSE)</f>
        <v>Good</v>
      </c>
      <c r="N824" s="7">
        <f>VLOOKUP(Table1[[#This Row],[Job_Status]],$V$2:$X$4,3,FALSE)</f>
        <v>0</v>
      </c>
    </row>
    <row r="825" spans="1:14" x14ac:dyDescent="0.3">
      <c r="A825" t="s">
        <v>14</v>
      </c>
      <c r="B825" t="s">
        <v>27</v>
      </c>
      <c r="C825" s="5">
        <v>2.11</v>
      </c>
      <c r="D825" s="7">
        <v>94</v>
      </c>
      <c r="E825" s="6">
        <v>8.9499999999999993</v>
      </c>
      <c r="F825">
        <v>87</v>
      </c>
      <c r="G825" s="3">
        <v>45009.041666666664</v>
      </c>
      <c r="H825" s="3">
        <v>45009.106944444444</v>
      </c>
      <c r="I825" s="3">
        <v>45009.038888888892</v>
      </c>
      <c r="J825" s="3">
        <v>45009.104166666664</v>
      </c>
      <c r="K825" t="s">
        <v>16</v>
      </c>
      <c r="L825" t="s">
        <v>20</v>
      </c>
      <c r="M825" t="str">
        <f>VLOOKUP(Table1[[#This Row],[Job_Status]],$V$2:$W$4,2,FALSE)</f>
        <v>Good</v>
      </c>
      <c r="N825" s="7">
        <f>VLOOKUP(Table1[[#This Row],[Job_Status]],$V$2:$X$4,3,FALSE)</f>
        <v>0</v>
      </c>
    </row>
    <row r="826" spans="1:14" x14ac:dyDescent="0.3">
      <c r="A826" t="s">
        <v>34</v>
      </c>
      <c r="B826" t="s">
        <v>15</v>
      </c>
      <c r="C826" s="5">
        <v>4.09</v>
      </c>
      <c r="D826" s="7">
        <v>93</v>
      </c>
      <c r="E826" s="6">
        <v>2.9</v>
      </c>
      <c r="F826">
        <v>87</v>
      </c>
      <c r="G826" s="3">
        <v>45009.048611111109</v>
      </c>
      <c r="H826" s="3">
        <v>45009.113194444442</v>
      </c>
      <c r="I826" s="3">
        <v>45009.047222222223</v>
      </c>
      <c r="J826" s="3">
        <v>45009.111805555556</v>
      </c>
      <c r="K826" t="s">
        <v>16</v>
      </c>
      <c r="L826" t="s">
        <v>20</v>
      </c>
      <c r="M826" t="str">
        <f>VLOOKUP(Table1[[#This Row],[Job_Status]],$V$2:$W$4,2,FALSE)</f>
        <v>Good</v>
      </c>
      <c r="N826" s="7">
        <f>VLOOKUP(Table1[[#This Row],[Job_Status]],$V$2:$X$4,3,FALSE)</f>
        <v>0</v>
      </c>
    </row>
    <row r="827" spans="1:14" x14ac:dyDescent="0.3">
      <c r="A827" t="s">
        <v>30</v>
      </c>
      <c r="B827" t="s">
        <v>32</v>
      </c>
      <c r="C827" s="5">
        <v>4.8600000000000003</v>
      </c>
      <c r="D827" s="7">
        <v>33</v>
      </c>
      <c r="E827" s="6">
        <v>14</v>
      </c>
      <c r="F827">
        <v>91</v>
      </c>
      <c r="G827" s="3">
        <v>45009.055555555555</v>
      </c>
      <c r="H827" s="3">
        <v>45009.078472222223</v>
      </c>
      <c r="K827" t="s">
        <v>24</v>
      </c>
      <c r="L827" t="s">
        <v>20</v>
      </c>
      <c r="M827" t="str">
        <f>VLOOKUP(Table1[[#This Row],[Job_Status]],$V$2:$W$4,2,FALSE)</f>
        <v>Defect</v>
      </c>
      <c r="N827" s="7">
        <f>VLOOKUP(Table1[[#This Row],[Job_Status]],$V$2:$X$4,3,FALSE)</f>
        <v>100</v>
      </c>
    </row>
    <row r="828" spans="1:14" x14ac:dyDescent="0.3">
      <c r="A828" t="s">
        <v>40</v>
      </c>
      <c r="B828" t="s">
        <v>27</v>
      </c>
      <c r="C828" s="5">
        <v>3.36</v>
      </c>
      <c r="D828" s="7">
        <v>67</v>
      </c>
      <c r="E828" s="6">
        <v>3.19</v>
      </c>
      <c r="F828">
        <v>93</v>
      </c>
      <c r="G828" s="3">
        <v>45009.0625</v>
      </c>
      <c r="H828" s="3">
        <v>45009.109027777777</v>
      </c>
      <c r="I828" s="3">
        <v>45009.061805555553</v>
      </c>
      <c r="J828" s="3">
        <v>45009.10833333333</v>
      </c>
      <c r="K828" t="s">
        <v>16</v>
      </c>
      <c r="L828" t="s">
        <v>20</v>
      </c>
      <c r="M828" t="str">
        <f>VLOOKUP(Table1[[#This Row],[Job_Status]],$V$2:$W$4,2,FALSE)</f>
        <v>Good</v>
      </c>
      <c r="N828" s="7">
        <f>VLOOKUP(Table1[[#This Row],[Job_Status]],$V$2:$X$4,3,FALSE)</f>
        <v>0</v>
      </c>
    </row>
    <row r="829" spans="1:14" x14ac:dyDescent="0.3">
      <c r="A829" t="s">
        <v>14</v>
      </c>
      <c r="B829" t="s">
        <v>32</v>
      </c>
      <c r="C829" s="5">
        <v>1.1100000000000001</v>
      </c>
      <c r="D829" s="7">
        <v>99</v>
      </c>
      <c r="E829" s="6">
        <v>12.67</v>
      </c>
      <c r="F829">
        <v>91</v>
      </c>
      <c r="G829" s="3">
        <v>45009.069444444445</v>
      </c>
      <c r="H829" s="3">
        <v>45009.138194444444</v>
      </c>
      <c r="I829" s="3">
        <v>45009.072916666664</v>
      </c>
      <c r="J829" s="3">
        <v>45009.14166666667</v>
      </c>
      <c r="K829" t="s">
        <v>16</v>
      </c>
      <c r="L829" t="s">
        <v>17</v>
      </c>
      <c r="M829" t="str">
        <f>VLOOKUP(Table1[[#This Row],[Job_Status]],$V$2:$W$4,2,FALSE)</f>
        <v>Good</v>
      </c>
      <c r="N829" s="7">
        <f>VLOOKUP(Table1[[#This Row],[Job_Status]],$V$2:$X$4,3,FALSE)</f>
        <v>0</v>
      </c>
    </row>
    <row r="830" spans="1:14" x14ac:dyDescent="0.3">
      <c r="A830" t="s">
        <v>40</v>
      </c>
      <c r="B830" t="s">
        <v>27</v>
      </c>
      <c r="C830" s="5">
        <v>3.51</v>
      </c>
      <c r="D830" s="7">
        <v>58</v>
      </c>
      <c r="E830" s="6">
        <v>10.11</v>
      </c>
      <c r="F830">
        <v>83</v>
      </c>
      <c r="G830" s="3">
        <v>45009.076388888891</v>
      </c>
      <c r="H830" s="3">
        <v>45009.116666666669</v>
      </c>
      <c r="I830" s="3">
        <v>45009.07708333333</v>
      </c>
      <c r="J830" s="3">
        <v>45009.117361111108</v>
      </c>
      <c r="K830" t="s">
        <v>16</v>
      </c>
      <c r="L830" t="s">
        <v>17</v>
      </c>
      <c r="M830" t="str">
        <f>VLOOKUP(Table1[[#This Row],[Job_Status]],$V$2:$W$4,2,FALSE)</f>
        <v>Good</v>
      </c>
      <c r="N830" s="7">
        <f>VLOOKUP(Table1[[#This Row],[Job_Status]],$V$2:$X$4,3,FALSE)</f>
        <v>0</v>
      </c>
    </row>
    <row r="831" spans="1:14" x14ac:dyDescent="0.3">
      <c r="A831" t="s">
        <v>40</v>
      </c>
      <c r="B831" t="s">
        <v>36</v>
      </c>
      <c r="C831" s="5">
        <v>2.94</v>
      </c>
      <c r="D831" s="7">
        <v>90</v>
      </c>
      <c r="E831" s="6">
        <v>9.06</v>
      </c>
      <c r="F831">
        <v>95</v>
      </c>
      <c r="G831" s="3">
        <v>45009.083333333336</v>
      </c>
      <c r="H831" s="3">
        <v>45009.145833333336</v>
      </c>
      <c r="K831" t="s">
        <v>24</v>
      </c>
      <c r="L831" t="s">
        <v>20</v>
      </c>
      <c r="M831" t="str">
        <f>VLOOKUP(Table1[[#This Row],[Job_Status]],$V$2:$W$4,2,FALSE)</f>
        <v>Defect</v>
      </c>
      <c r="N831" s="7">
        <f>VLOOKUP(Table1[[#This Row],[Job_Status]],$V$2:$X$4,3,FALSE)</f>
        <v>100</v>
      </c>
    </row>
    <row r="832" spans="1:14" x14ac:dyDescent="0.3">
      <c r="A832" t="s">
        <v>22</v>
      </c>
      <c r="B832" t="s">
        <v>32</v>
      </c>
      <c r="C832" s="5">
        <v>2.73</v>
      </c>
      <c r="D832" s="7">
        <v>24</v>
      </c>
      <c r="E832" s="6">
        <v>3.36</v>
      </c>
      <c r="F832">
        <v>82</v>
      </c>
      <c r="G832" s="3">
        <v>45009.090277777781</v>
      </c>
      <c r="H832" s="3">
        <v>45009.106944444444</v>
      </c>
      <c r="I832" s="3">
        <v>45009.086805555555</v>
      </c>
      <c r="J832" s="3">
        <v>45009.103472222225</v>
      </c>
      <c r="K832" t="s">
        <v>16</v>
      </c>
      <c r="L832" t="s">
        <v>20</v>
      </c>
      <c r="M832" t="str">
        <f>VLOOKUP(Table1[[#This Row],[Job_Status]],$V$2:$W$4,2,FALSE)</f>
        <v>Good</v>
      </c>
      <c r="N832" s="7">
        <f>VLOOKUP(Table1[[#This Row],[Job_Status]],$V$2:$X$4,3,FALSE)</f>
        <v>0</v>
      </c>
    </row>
    <row r="833" spans="1:14" x14ac:dyDescent="0.3">
      <c r="A833" t="s">
        <v>34</v>
      </c>
      <c r="B833" t="s">
        <v>15</v>
      </c>
      <c r="C833" s="5">
        <v>4.88</v>
      </c>
      <c r="D833" s="7">
        <v>80</v>
      </c>
      <c r="E833" s="6">
        <v>12.55</v>
      </c>
      <c r="F833">
        <v>80</v>
      </c>
      <c r="G833" s="3">
        <v>45009.097222222219</v>
      </c>
      <c r="H833" s="3">
        <v>45009.152777777781</v>
      </c>
      <c r="I833" s="3">
        <v>45009.114583333336</v>
      </c>
      <c r="J833" s="3">
        <v>45009.170138888891</v>
      </c>
      <c r="K833" t="s">
        <v>19</v>
      </c>
      <c r="L833" t="s">
        <v>20</v>
      </c>
      <c r="M833" t="str">
        <f>VLOOKUP(Table1[[#This Row],[Job_Status]],$V$2:$W$4,2,FALSE)</f>
        <v>Good</v>
      </c>
      <c r="N833" s="7">
        <f>VLOOKUP(Table1[[#This Row],[Job_Status]],$V$2:$X$4,3,FALSE)</f>
        <v>0</v>
      </c>
    </row>
    <row r="834" spans="1:14" x14ac:dyDescent="0.3">
      <c r="A834" t="s">
        <v>14</v>
      </c>
      <c r="B834" t="s">
        <v>15</v>
      </c>
      <c r="C834" s="5">
        <v>3.68</v>
      </c>
      <c r="D834" s="7">
        <v>100</v>
      </c>
      <c r="E834" s="6">
        <v>12.13</v>
      </c>
      <c r="F834">
        <v>89</v>
      </c>
      <c r="G834" s="3">
        <v>45009.104166666664</v>
      </c>
      <c r="H834" s="3">
        <v>45009.173611111109</v>
      </c>
      <c r="I834" s="3">
        <v>45009.102777777778</v>
      </c>
      <c r="J834" s="3">
        <v>45009.172222222223</v>
      </c>
      <c r="K834" t="s">
        <v>16</v>
      </c>
      <c r="L834" t="s">
        <v>20</v>
      </c>
      <c r="M834" t="str">
        <f>VLOOKUP(Table1[[#This Row],[Job_Status]],$V$2:$W$4,2,FALSE)</f>
        <v>Good</v>
      </c>
      <c r="N834" s="7">
        <f>VLOOKUP(Table1[[#This Row],[Job_Status]],$V$2:$X$4,3,FALSE)</f>
        <v>0</v>
      </c>
    </row>
    <row r="835" spans="1:14" x14ac:dyDescent="0.3">
      <c r="A835" t="s">
        <v>30</v>
      </c>
      <c r="B835" t="s">
        <v>23</v>
      </c>
      <c r="C835" s="5">
        <v>4.3099999999999996</v>
      </c>
      <c r="D835" s="7">
        <v>89</v>
      </c>
      <c r="E835" s="6">
        <v>6.12</v>
      </c>
      <c r="F835">
        <v>96</v>
      </c>
      <c r="G835" s="3">
        <v>45009.111111111109</v>
      </c>
      <c r="H835" s="3">
        <v>45009.17291666667</v>
      </c>
      <c r="I835" s="3">
        <v>45009.114583333336</v>
      </c>
      <c r="J835" s="3">
        <v>45009.176388888889</v>
      </c>
      <c r="K835" t="s">
        <v>16</v>
      </c>
      <c r="L835" t="s">
        <v>28</v>
      </c>
      <c r="M835" t="str">
        <f>VLOOKUP(Table1[[#This Row],[Job_Status]],$V$2:$W$4,2,FALSE)</f>
        <v>Good</v>
      </c>
      <c r="N835" s="7">
        <f>VLOOKUP(Table1[[#This Row],[Job_Status]],$V$2:$X$4,3,FALSE)</f>
        <v>0</v>
      </c>
    </row>
    <row r="836" spans="1:14" x14ac:dyDescent="0.3">
      <c r="A836" t="s">
        <v>22</v>
      </c>
      <c r="B836" t="s">
        <v>32</v>
      </c>
      <c r="C836" s="5">
        <v>3.59</v>
      </c>
      <c r="D836" s="7">
        <v>71</v>
      </c>
      <c r="E836" s="6">
        <v>12.87</v>
      </c>
      <c r="F836">
        <v>80</v>
      </c>
      <c r="G836" s="3">
        <v>45009.118055555555</v>
      </c>
      <c r="H836" s="3">
        <v>45009.167361111111</v>
      </c>
      <c r="I836" s="3">
        <v>45009.121527777781</v>
      </c>
      <c r="J836" s="3">
        <v>45009.17083333333</v>
      </c>
      <c r="K836" t="s">
        <v>16</v>
      </c>
      <c r="L836" t="s">
        <v>17</v>
      </c>
      <c r="M836" t="str">
        <f>VLOOKUP(Table1[[#This Row],[Job_Status]],$V$2:$W$4,2,FALSE)</f>
        <v>Good</v>
      </c>
      <c r="N836" s="7">
        <f>VLOOKUP(Table1[[#This Row],[Job_Status]],$V$2:$X$4,3,FALSE)</f>
        <v>0</v>
      </c>
    </row>
    <row r="837" spans="1:14" x14ac:dyDescent="0.3">
      <c r="A837" t="s">
        <v>14</v>
      </c>
      <c r="B837" t="s">
        <v>15</v>
      </c>
      <c r="C837" s="5">
        <v>1.84</v>
      </c>
      <c r="D837" s="7">
        <v>60</v>
      </c>
      <c r="E837" s="6">
        <v>13.14</v>
      </c>
      <c r="F837">
        <v>84</v>
      </c>
      <c r="G837" s="3">
        <v>45009.125</v>
      </c>
      <c r="H837" s="3">
        <v>45009.166666666664</v>
      </c>
      <c r="I837" s="3">
        <v>45009.126388888886</v>
      </c>
      <c r="J837" s="3">
        <v>45009.168055555558</v>
      </c>
      <c r="K837" t="s">
        <v>16</v>
      </c>
      <c r="L837" t="s">
        <v>17</v>
      </c>
      <c r="M837" t="str">
        <f>VLOOKUP(Table1[[#This Row],[Job_Status]],$V$2:$W$4,2,FALSE)</f>
        <v>Good</v>
      </c>
      <c r="N837" s="7">
        <f>VLOOKUP(Table1[[#This Row],[Job_Status]],$V$2:$X$4,3,FALSE)</f>
        <v>0</v>
      </c>
    </row>
    <row r="838" spans="1:14" x14ac:dyDescent="0.3">
      <c r="A838" t="s">
        <v>40</v>
      </c>
      <c r="B838" t="s">
        <v>36</v>
      </c>
      <c r="C838" s="5">
        <v>1.45</v>
      </c>
      <c r="D838" s="7">
        <v>108</v>
      </c>
      <c r="E838" s="6">
        <v>12.05</v>
      </c>
      <c r="F838">
        <v>95</v>
      </c>
      <c r="G838" s="3">
        <v>45009.131944444445</v>
      </c>
      <c r="H838" s="3">
        <v>45009.206944444442</v>
      </c>
      <c r="I838" s="3">
        <v>45009.143055555556</v>
      </c>
      <c r="J838" s="3">
        <v>45009.218055555553</v>
      </c>
      <c r="K838" t="s">
        <v>19</v>
      </c>
      <c r="L838" t="s">
        <v>20</v>
      </c>
      <c r="M838" t="str">
        <f>VLOOKUP(Table1[[#This Row],[Job_Status]],$V$2:$W$4,2,FALSE)</f>
        <v>Good</v>
      </c>
      <c r="N838" s="7">
        <f>VLOOKUP(Table1[[#This Row],[Job_Status]],$V$2:$X$4,3,FALSE)</f>
        <v>0</v>
      </c>
    </row>
    <row r="839" spans="1:14" x14ac:dyDescent="0.3">
      <c r="A839" t="s">
        <v>34</v>
      </c>
      <c r="B839" t="s">
        <v>32</v>
      </c>
      <c r="C839" s="5">
        <v>4.38</v>
      </c>
      <c r="D839" s="7">
        <v>52</v>
      </c>
      <c r="E839" s="6">
        <v>3.56</v>
      </c>
      <c r="F839">
        <v>84</v>
      </c>
      <c r="G839" s="3">
        <v>45009.138888888891</v>
      </c>
      <c r="H839" s="3">
        <v>45009.175000000003</v>
      </c>
      <c r="K839" t="s">
        <v>24</v>
      </c>
      <c r="L839" t="s">
        <v>20</v>
      </c>
      <c r="M839" t="str">
        <f>VLOOKUP(Table1[[#This Row],[Job_Status]],$V$2:$W$4,2,FALSE)</f>
        <v>Defect</v>
      </c>
      <c r="N839" s="7">
        <f>VLOOKUP(Table1[[#This Row],[Job_Status]],$V$2:$X$4,3,FALSE)</f>
        <v>100</v>
      </c>
    </row>
    <row r="840" spans="1:14" x14ac:dyDescent="0.3">
      <c r="A840" t="s">
        <v>30</v>
      </c>
      <c r="B840" t="s">
        <v>15</v>
      </c>
      <c r="C840" s="5">
        <v>1.93</v>
      </c>
      <c r="D840" s="7">
        <v>102</v>
      </c>
      <c r="E840" s="6">
        <v>4.4800000000000004</v>
      </c>
      <c r="F840">
        <v>80</v>
      </c>
      <c r="G840" s="3">
        <v>45009.145833333336</v>
      </c>
      <c r="H840" s="3">
        <v>45009.216666666667</v>
      </c>
      <c r="I840" s="3">
        <v>45009.143055555556</v>
      </c>
      <c r="J840" s="3">
        <v>45009.213888888888</v>
      </c>
      <c r="K840" t="s">
        <v>16</v>
      </c>
      <c r="L840" t="s">
        <v>20</v>
      </c>
      <c r="M840" t="str">
        <f>VLOOKUP(Table1[[#This Row],[Job_Status]],$V$2:$W$4,2,FALSE)</f>
        <v>Good</v>
      </c>
      <c r="N840" s="7">
        <f>VLOOKUP(Table1[[#This Row],[Job_Status]],$V$2:$X$4,3,FALSE)</f>
        <v>0</v>
      </c>
    </row>
    <row r="841" spans="1:14" x14ac:dyDescent="0.3">
      <c r="A841" t="s">
        <v>34</v>
      </c>
      <c r="B841" t="s">
        <v>32</v>
      </c>
      <c r="C841" s="5">
        <v>2.77</v>
      </c>
      <c r="D841" s="7">
        <v>74</v>
      </c>
      <c r="E841" s="6">
        <v>12.74</v>
      </c>
      <c r="F841">
        <v>98</v>
      </c>
      <c r="G841" s="3">
        <v>45009.152777777781</v>
      </c>
      <c r="H841" s="3">
        <v>45009.20416666667</v>
      </c>
      <c r="I841" s="3">
        <v>45009.152083333334</v>
      </c>
      <c r="J841" s="3">
        <v>45009.203472222223</v>
      </c>
      <c r="K841" t="s">
        <v>16</v>
      </c>
      <c r="L841" t="s">
        <v>20</v>
      </c>
      <c r="M841" t="str">
        <f>VLOOKUP(Table1[[#This Row],[Job_Status]],$V$2:$W$4,2,FALSE)</f>
        <v>Good</v>
      </c>
      <c r="N841" s="7">
        <f>VLOOKUP(Table1[[#This Row],[Job_Status]],$V$2:$X$4,3,FALSE)</f>
        <v>0</v>
      </c>
    </row>
    <row r="842" spans="1:14" x14ac:dyDescent="0.3">
      <c r="A842" t="s">
        <v>30</v>
      </c>
      <c r="B842" t="s">
        <v>15</v>
      </c>
      <c r="C842" s="5">
        <v>4.41</v>
      </c>
      <c r="D842" s="7">
        <v>118</v>
      </c>
      <c r="E842" s="6">
        <v>14</v>
      </c>
      <c r="F842">
        <v>98</v>
      </c>
      <c r="G842" s="3">
        <v>45009.159722222219</v>
      </c>
      <c r="H842" s="3">
        <v>45009.241666666669</v>
      </c>
      <c r="I842" s="3">
        <v>45009.158333333333</v>
      </c>
      <c r="J842" s="3">
        <v>45009.240277777775</v>
      </c>
      <c r="K842" t="s">
        <v>16</v>
      </c>
      <c r="L842" t="s">
        <v>20</v>
      </c>
      <c r="M842" t="str">
        <f>VLOOKUP(Table1[[#This Row],[Job_Status]],$V$2:$W$4,2,FALSE)</f>
        <v>Good</v>
      </c>
      <c r="N842" s="7">
        <f>VLOOKUP(Table1[[#This Row],[Job_Status]],$V$2:$X$4,3,FALSE)</f>
        <v>0</v>
      </c>
    </row>
    <row r="843" spans="1:14" x14ac:dyDescent="0.3">
      <c r="A843" t="s">
        <v>22</v>
      </c>
      <c r="B843" t="s">
        <v>32</v>
      </c>
      <c r="C843" s="5">
        <v>2.38</v>
      </c>
      <c r="D843" s="7">
        <v>91</v>
      </c>
      <c r="E843" s="6">
        <v>4.38</v>
      </c>
      <c r="F843">
        <v>94</v>
      </c>
      <c r="G843" s="3">
        <v>45009.166666666664</v>
      </c>
      <c r="H843" s="3">
        <v>45009.229861111111</v>
      </c>
      <c r="I843" s="3">
        <v>45009.174305555556</v>
      </c>
      <c r="J843" s="3">
        <v>45009.237500000003</v>
      </c>
      <c r="K843" t="s">
        <v>19</v>
      </c>
      <c r="L843" t="s">
        <v>20</v>
      </c>
      <c r="M843" t="str">
        <f>VLOOKUP(Table1[[#This Row],[Job_Status]],$V$2:$W$4,2,FALSE)</f>
        <v>Good</v>
      </c>
      <c r="N843" s="7">
        <f>VLOOKUP(Table1[[#This Row],[Job_Status]],$V$2:$X$4,3,FALSE)</f>
        <v>0</v>
      </c>
    </row>
    <row r="844" spans="1:14" x14ac:dyDescent="0.3">
      <c r="A844" t="s">
        <v>14</v>
      </c>
      <c r="B844" t="s">
        <v>32</v>
      </c>
      <c r="C844" s="5">
        <v>2.63</v>
      </c>
      <c r="D844" s="7">
        <v>88</v>
      </c>
      <c r="E844" s="6">
        <v>13.86</v>
      </c>
      <c r="F844">
        <v>83</v>
      </c>
      <c r="G844" s="3">
        <v>45009.173611111109</v>
      </c>
      <c r="H844" s="3">
        <v>45009.234722222223</v>
      </c>
      <c r="I844" s="3">
        <v>45009.183333333334</v>
      </c>
      <c r="J844" s="3">
        <v>45009.244444444441</v>
      </c>
      <c r="K844" t="s">
        <v>19</v>
      </c>
      <c r="L844" t="s">
        <v>20</v>
      </c>
      <c r="M844" t="str">
        <f>VLOOKUP(Table1[[#This Row],[Job_Status]],$V$2:$W$4,2,FALSE)</f>
        <v>Good</v>
      </c>
      <c r="N844" s="7">
        <f>VLOOKUP(Table1[[#This Row],[Job_Status]],$V$2:$X$4,3,FALSE)</f>
        <v>0</v>
      </c>
    </row>
    <row r="845" spans="1:14" x14ac:dyDescent="0.3">
      <c r="A845" t="s">
        <v>34</v>
      </c>
      <c r="B845" t="s">
        <v>15</v>
      </c>
      <c r="C845" s="5">
        <v>3.36</v>
      </c>
      <c r="D845" s="7">
        <v>61</v>
      </c>
      <c r="E845" s="6">
        <v>8.8800000000000008</v>
      </c>
      <c r="F845">
        <v>87</v>
      </c>
      <c r="G845" s="3">
        <v>45009.180555555555</v>
      </c>
      <c r="H845" s="3">
        <v>45009.222916666666</v>
      </c>
      <c r="I845" s="3">
        <v>45009.180555555555</v>
      </c>
      <c r="J845" s="3">
        <v>45009.222916666666</v>
      </c>
      <c r="K845" t="s">
        <v>16</v>
      </c>
      <c r="L845" t="s">
        <v>28</v>
      </c>
      <c r="M845" t="str">
        <f>VLOOKUP(Table1[[#This Row],[Job_Status]],$V$2:$W$4,2,FALSE)</f>
        <v>Good</v>
      </c>
      <c r="N845" s="7">
        <f>VLOOKUP(Table1[[#This Row],[Job_Status]],$V$2:$X$4,3,FALSE)</f>
        <v>0</v>
      </c>
    </row>
    <row r="846" spans="1:14" x14ac:dyDescent="0.3">
      <c r="A846" t="s">
        <v>22</v>
      </c>
      <c r="B846" t="s">
        <v>36</v>
      </c>
      <c r="C846" s="5">
        <v>1.91</v>
      </c>
      <c r="D846" s="7">
        <v>58</v>
      </c>
      <c r="E846" s="6">
        <v>8.75</v>
      </c>
      <c r="F846">
        <v>96</v>
      </c>
      <c r="G846" s="3">
        <v>45009.1875</v>
      </c>
      <c r="H846" s="3">
        <v>45009.227777777778</v>
      </c>
      <c r="I846" s="3">
        <v>45009.184027777781</v>
      </c>
      <c r="J846" s="3">
        <v>45009.224305555559</v>
      </c>
      <c r="K846" t="s">
        <v>16</v>
      </c>
      <c r="L846" t="s">
        <v>20</v>
      </c>
      <c r="M846" t="str">
        <f>VLOOKUP(Table1[[#This Row],[Job_Status]],$V$2:$W$4,2,FALSE)</f>
        <v>Good</v>
      </c>
      <c r="N846" s="7">
        <f>VLOOKUP(Table1[[#This Row],[Job_Status]],$V$2:$X$4,3,FALSE)</f>
        <v>0</v>
      </c>
    </row>
    <row r="847" spans="1:14" x14ac:dyDescent="0.3">
      <c r="A847" t="s">
        <v>22</v>
      </c>
      <c r="B847" t="s">
        <v>27</v>
      </c>
      <c r="C847" s="5">
        <v>2.1</v>
      </c>
      <c r="D847" s="7">
        <v>40</v>
      </c>
      <c r="E847" s="6">
        <v>14.19</v>
      </c>
      <c r="F847">
        <v>97</v>
      </c>
      <c r="G847" s="3">
        <v>45009.194444444445</v>
      </c>
      <c r="H847" s="3">
        <v>45009.222222222219</v>
      </c>
      <c r="I847" s="3">
        <v>45009.195138888892</v>
      </c>
      <c r="J847" s="3">
        <v>45009.222916666666</v>
      </c>
      <c r="K847" t="s">
        <v>16</v>
      </c>
      <c r="L847" t="s">
        <v>17</v>
      </c>
      <c r="M847" t="str">
        <f>VLOOKUP(Table1[[#This Row],[Job_Status]],$V$2:$W$4,2,FALSE)</f>
        <v>Good</v>
      </c>
      <c r="N847" s="7">
        <f>VLOOKUP(Table1[[#This Row],[Job_Status]],$V$2:$X$4,3,FALSE)</f>
        <v>0</v>
      </c>
    </row>
    <row r="848" spans="1:14" x14ac:dyDescent="0.3">
      <c r="A848" t="s">
        <v>14</v>
      </c>
      <c r="B848" t="s">
        <v>23</v>
      </c>
      <c r="C848" s="5">
        <v>3.05</v>
      </c>
      <c r="D848" s="7">
        <v>91</v>
      </c>
      <c r="E848" s="6">
        <v>8.59</v>
      </c>
      <c r="F848">
        <v>91</v>
      </c>
      <c r="G848" s="3">
        <v>45009.201388888891</v>
      </c>
      <c r="H848" s="3">
        <v>45009.26458333333</v>
      </c>
      <c r="I848" s="3">
        <v>45009.197916666664</v>
      </c>
      <c r="J848" s="3">
        <v>45009.261111111111</v>
      </c>
      <c r="K848" t="s">
        <v>16</v>
      </c>
      <c r="L848" t="s">
        <v>20</v>
      </c>
      <c r="M848" t="str">
        <f>VLOOKUP(Table1[[#This Row],[Job_Status]],$V$2:$W$4,2,FALSE)</f>
        <v>Good</v>
      </c>
      <c r="N848" s="7">
        <f>VLOOKUP(Table1[[#This Row],[Job_Status]],$V$2:$X$4,3,FALSE)</f>
        <v>0</v>
      </c>
    </row>
    <row r="849" spans="1:14" x14ac:dyDescent="0.3">
      <c r="A849" t="s">
        <v>22</v>
      </c>
      <c r="B849" t="s">
        <v>32</v>
      </c>
      <c r="C849" s="5">
        <v>1.87</v>
      </c>
      <c r="D849" s="7">
        <v>73</v>
      </c>
      <c r="E849" s="6">
        <v>6.05</v>
      </c>
      <c r="F849">
        <v>92</v>
      </c>
      <c r="G849" s="3">
        <v>45009.208333333336</v>
      </c>
      <c r="H849" s="3">
        <v>45009.259027777778</v>
      </c>
      <c r="K849" t="s">
        <v>24</v>
      </c>
      <c r="L849" t="s">
        <v>20</v>
      </c>
      <c r="M849" t="str">
        <f>VLOOKUP(Table1[[#This Row],[Job_Status]],$V$2:$W$4,2,FALSE)</f>
        <v>Defect</v>
      </c>
      <c r="N849" s="7">
        <f>VLOOKUP(Table1[[#This Row],[Job_Status]],$V$2:$X$4,3,FALSE)</f>
        <v>100</v>
      </c>
    </row>
    <row r="850" spans="1:14" x14ac:dyDescent="0.3">
      <c r="A850" t="s">
        <v>30</v>
      </c>
      <c r="B850" t="s">
        <v>15</v>
      </c>
      <c r="C850" s="5">
        <v>1.07</v>
      </c>
      <c r="D850" s="7">
        <v>86</v>
      </c>
      <c r="E850" s="6">
        <v>6.85</v>
      </c>
      <c r="F850">
        <v>95</v>
      </c>
      <c r="G850" s="3">
        <v>45009.215277777781</v>
      </c>
      <c r="H850" s="3">
        <v>45009.275000000001</v>
      </c>
      <c r="I850" s="3">
        <v>45009.213194444441</v>
      </c>
      <c r="J850" s="3">
        <v>45009.272916666669</v>
      </c>
      <c r="K850" t="s">
        <v>16</v>
      </c>
      <c r="L850" t="s">
        <v>20</v>
      </c>
      <c r="M850" t="str">
        <f>VLOOKUP(Table1[[#This Row],[Job_Status]],$V$2:$W$4,2,FALSE)</f>
        <v>Good</v>
      </c>
      <c r="N850" s="7">
        <f>VLOOKUP(Table1[[#This Row],[Job_Status]],$V$2:$X$4,3,FALSE)</f>
        <v>0</v>
      </c>
    </row>
    <row r="851" spans="1:14" x14ac:dyDescent="0.3">
      <c r="A851" t="s">
        <v>34</v>
      </c>
      <c r="B851" t="s">
        <v>15</v>
      </c>
      <c r="C851" s="5">
        <v>2.81</v>
      </c>
      <c r="D851" s="7">
        <v>53</v>
      </c>
      <c r="E851" s="6">
        <v>8.73</v>
      </c>
      <c r="F851">
        <v>83</v>
      </c>
      <c r="G851" s="3">
        <v>45009.222222222219</v>
      </c>
      <c r="H851" s="3">
        <v>45009.259027777778</v>
      </c>
      <c r="I851" s="3">
        <v>45009.22152777778</v>
      </c>
      <c r="J851" s="3">
        <v>45009.258333333331</v>
      </c>
      <c r="K851" t="s">
        <v>16</v>
      </c>
      <c r="L851" t="s">
        <v>20</v>
      </c>
      <c r="M851" t="str">
        <f>VLOOKUP(Table1[[#This Row],[Job_Status]],$V$2:$W$4,2,FALSE)</f>
        <v>Good</v>
      </c>
      <c r="N851" s="7">
        <f>VLOOKUP(Table1[[#This Row],[Job_Status]],$V$2:$X$4,3,FALSE)</f>
        <v>0</v>
      </c>
    </row>
    <row r="852" spans="1:14" x14ac:dyDescent="0.3">
      <c r="A852" t="s">
        <v>34</v>
      </c>
      <c r="B852" t="s">
        <v>32</v>
      </c>
      <c r="C852" s="5">
        <v>2.27</v>
      </c>
      <c r="D852" s="7">
        <v>111</v>
      </c>
      <c r="E852" s="6">
        <v>6.5</v>
      </c>
      <c r="F852">
        <v>90</v>
      </c>
      <c r="G852" s="3">
        <v>45009.229166666664</v>
      </c>
      <c r="H852" s="3">
        <v>45009.306250000001</v>
      </c>
      <c r="K852" t="s">
        <v>24</v>
      </c>
      <c r="L852" t="s">
        <v>20</v>
      </c>
      <c r="M852" t="str">
        <f>VLOOKUP(Table1[[#This Row],[Job_Status]],$V$2:$W$4,2,FALSE)</f>
        <v>Defect</v>
      </c>
      <c r="N852" s="7">
        <f>VLOOKUP(Table1[[#This Row],[Job_Status]],$V$2:$X$4,3,FALSE)</f>
        <v>100</v>
      </c>
    </row>
    <row r="853" spans="1:14" x14ac:dyDescent="0.3">
      <c r="A853" t="s">
        <v>30</v>
      </c>
      <c r="B853" t="s">
        <v>23</v>
      </c>
      <c r="C853" s="5">
        <v>1.63</v>
      </c>
      <c r="D853" s="7">
        <v>30</v>
      </c>
      <c r="E853" s="6">
        <v>13.94</v>
      </c>
      <c r="F853">
        <v>82</v>
      </c>
      <c r="G853" s="3">
        <v>45009.236111111109</v>
      </c>
      <c r="H853" s="3">
        <v>45009.256944444445</v>
      </c>
      <c r="K853" t="s">
        <v>24</v>
      </c>
      <c r="L853" t="s">
        <v>20</v>
      </c>
      <c r="M853" t="str">
        <f>VLOOKUP(Table1[[#This Row],[Job_Status]],$V$2:$W$4,2,FALSE)</f>
        <v>Defect</v>
      </c>
      <c r="N853" s="7">
        <f>VLOOKUP(Table1[[#This Row],[Job_Status]],$V$2:$X$4,3,FALSE)</f>
        <v>100</v>
      </c>
    </row>
    <row r="854" spans="1:14" x14ac:dyDescent="0.3">
      <c r="A854" t="s">
        <v>30</v>
      </c>
      <c r="B854" t="s">
        <v>15</v>
      </c>
      <c r="C854" s="5">
        <v>2.4</v>
      </c>
      <c r="D854" s="7">
        <v>68</v>
      </c>
      <c r="E854" s="6">
        <v>14.78</v>
      </c>
      <c r="F854">
        <v>85</v>
      </c>
      <c r="G854" s="3">
        <v>45009.243055555555</v>
      </c>
      <c r="H854" s="3">
        <v>45009.290277777778</v>
      </c>
      <c r="I854" s="3">
        <v>45009.261805555558</v>
      </c>
      <c r="J854" s="3">
        <v>45009.309027777781</v>
      </c>
      <c r="K854" t="s">
        <v>19</v>
      </c>
      <c r="L854" t="s">
        <v>20</v>
      </c>
      <c r="M854" t="str">
        <f>VLOOKUP(Table1[[#This Row],[Job_Status]],$V$2:$W$4,2,FALSE)</f>
        <v>Good</v>
      </c>
      <c r="N854" s="7">
        <f>VLOOKUP(Table1[[#This Row],[Job_Status]],$V$2:$X$4,3,FALSE)</f>
        <v>0</v>
      </c>
    </row>
    <row r="855" spans="1:14" x14ac:dyDescent="0.3">
      <c r="A855" t="s">
        <v>40</v>
      </c>
      <c r="B855" t="s">
        <v>23</v>
      </c>
      <c r="C855" s="5">
        <v>4.6399999999999997</v>
      </c>
      <c r="D855" s="7">
        <v>86</v>
      </c>
      <c r="E855" s="6">
        <v>11.14</v>
      </c>
      <c r="F855">
        <v>89</v>
      </c>
      <c r="G855" s="3">
        <v>45009.25</v>
      </c>
      <c r="H855" s="3">
        <v>45009.30972222222</v>
      </c>
      <c r="I855" s="3">
        <v>45009.247916666667</v>
      </c>
      <c r="J855" s="3">
        <v>45009.307638888888</v>
      </c>
      <c r="K855" t="s">
        <v>16</v>
      </c>
      <c r="L855" t="s">
        <v>20</v>
      </c>
      <c r="M855" t="str">
        <f>VLOOKUP(Table1[[#This Row],[Job_Status]],$V$2:$W$4,2,FALSE)</f>
        <v>Good</v>
      </c>
      <c r="N855" s="7">
        <f>VLOOKUP(Table1[[#This Row],[Job_Status]],$V$2:$X$4,3,FALSE)</f>
        <v>0</v>
      </c>
    </row>
    <row r="856" spans="1:14" x14ac:dyDescent="0.3">
      <c r="A856" t="s">
        <v>34</v>
      </c>
      <c r="B856" t="s">
        <v>32</v>
      </c>
      <c r="C856" s="5">
        <v>3.38</v>
      </c>
      <c r="D856" s="7">
        <v>68</v>
      </c>
      <c r="E856" s="6">
        <v>12.99</v>
      </c>
      <c r="F856">
        <v>83</v>
      </c>
      <c r="G856" s="3">
        <v>45009.256944444445</v>
      </c>
      <c r="H856" s="3">
        <v>45009.304166666669</v>
      </c>
      <c r="I856" s="3">
        <v>45009.259722222225</v>
      </c>
      <c r="J856" s="3">
        <v>45009.306944444441</v>
      </c>
      <c r="K856" t="s">
        <v>16</v>
      </c>
      <c r="L856" t="s">
        <v>17</v>
      </c>
      <c r="M856" t="str">
        <f>VLOOKUP(Table1[[#This Row],[Job_Status]],$V$2:$W$4,2,FALSE)</f>
        <v>Good</v>
      </c>
      <c r="N856" s="7">
        <f>VLOOKUP(Table1[[#This Row],[Job_Status]],$V$2:$X$4,3,FALSE)</f>
        <v>0</v>
      </c>
    </row>
    <row r="857" spans="1:14" x14ac:dyDescent="0.3">
      <c r="A857" t="s">
        <v>22</v>
      </c>
      <c r="B857" t="s">
        <v>27</v>
      </c>
      <c r="C857" s="5">
        <v>3.63</v>
      </c>
      <c r="D857" s="7">
        <v>90</v>
      </c>
      <c r="E857" s="6">
        <v>13.56</v>
      </c>
      <c r="F857">
        <v>81</v>
      </c>
      <c r="G857" s="3">
        <v>45009.263888888891</v>
      </c>
      <c r="H857" s="3">
        <v>45009.326388888891</v>
      </c>
      <c r="I857" s="3">
        <v>45009.26458333333</v>
      </c>
      <c r="J857" s="3">
        <v>45009.32708333333</v>
      </c>
      <c r="K857" t="s">
        <v>16</v>
      </c>
      <c r="L857" t="s">
        <v>17</v>
      </c>
      <c r="M857" t="str">
        <f>VLOOKUP(Table1[[#This Row],[Job_Status]],$V$2:$W$4,2,FALSE)</f>
        <v>Good</v>
      </c>
      <c r="N857" s="7">
        <f>VLOOKUP(Table1[[#This Row],[Job_Status]],$V$2:$X$4,3,FALSE)</f>
        <v>0</v>
      </c>
    </row>
    <row r="858" spans="1:14" x14ac:dyDescent="0.3">
      <c r="A858" t="s">
        <v>22</v>
      </c>
      <c r="B858" t="s">
        <v>32</v>
      </c>
      <c r="C858" s="5">
        <v>1.71</v>
      </c>
      <c r="D858" s="7">
        <v>62</v>
      </c>
      <c r="E858" s="6">
        <v>7.53</v>
      </c>
      <c r="F858">
        <v>96</v>
      </c>
      <c r="G858" s="3">
        <v>45009.270833333336</v>
      </c>
      <c r="H858" s="3">
        <v>45009.313888888886</v>
      </c>
      <c r="K858" t="s">
        <v>24</v>
      </c>
      <c r="L858" t="s">
        <v>20</v>
      </c>
      <c r="M858" t="str">
        <f>VLOOKUP(Table1[[#This Row],[Job_Status]],$V$2:$W$4,2,FALSE)</f>
        <v>Defect</v>
      </c>
      <c r="N858" s="7">
        <f>VLOOKUP(Table1[[#This Row],[Job_Status]],$V$2:$X$4,3,FALSE)</f>
        <v>100</v>
      </c>
    </row>
    <row r="859" spans="1:14" x14ac:dyDescent="0.3">
      <c r="A859" t="s">
        <v>22</v>
      </c>
      <c r="B859" t="s">
        <v>23</v>
      </c>
      <c r="C859" s="5">
        <v>2.1800000000000002</v>
      </c>
      <c r="D859" s="7">
        <v>62</v>
      </c>
      <c r="E859" s="6">
        <v>13.79</v>
      </c>
      <c r="F859">
        <v>87</v>
      </c>
      <c r="G859" s="3">
        <v>45009.277777777781</v>
      </c>
      <c r="H859" s="3">
        <v>45009.320833333331</v>
      </c>
      <c r="I859" s="3">
        <v>45009.280555555553</v>
      </c>
      <c r="J859" s="3">
        <v>45009.323611111111</v>
      </c>
      <c r="K859" t="s">
        <v>16</v>
      </c>
      <c r="L859" t="s">
        <v>17</v>
      </c>
      <c r="M859" t="str">
        <f>VLOOKUP(Table1[[#This Row],[Job_Status]],$V$2:$W$4,2,FALSE)</f>
        <v>Good</v>
      </c>
      <c r="N859" s="7">
        <f>VLOOKUP(Table1[[#This Row],[Job_Status]],$V$2:$X$4,3,FALSE)</f>
        <v>0</v>
      </c>
    </row>
    <row r="860" spans="1:14" x14ac:dyDescent="0.3">
      <c r="A860" t="s">
        <v>40</v>
      </c>
      <c r="B860" t="s">
        <v>23</v>
      </c>
      <c r="C860" s="5">
        <v>3.5</v>
      </c>
      <c r="D860" s="7">
        <v>114</v>
      </c>
      <c r="E860" s="6">
        <v>5.38</v>
      </c>
      <c r="F860">
        <v>84</v>
      </c>
      <c r="G860" s="3">
        <v>45009.284722222219</v>
      </c>
      <c r="H860" s="3">
        <v>45009.363888888889</v>
      </c>
      <c r="I860" s="3">
        <v>45009.283333333333</v>
      </c>
      <c r="J860" s="3">
        <v>45009.362500000003</v>
      </c>
      <c r="K860" t="s">
        <v>16</v>
      </c>
      <c r="L860" t="s">
        <v>20</v>
      </c>
      <c r="M860" t="str">
        <f>VLOOKUP(Table1[[#This Row],[Job_Status]],$V$2:$W$4,2,FALSE)</f>
        <v>Good</v>
      </c>
      <c r="N860" s="7">
        <f>VLOOKUP(Table1[[#This Row],[Job_Status]],$V$2:$X$4,3,FALSE)</f>
        <v>0</v>
      </c>
    </row>
    <row r="861" spans="1:14" x14ac:dyDescent="0.3">
      <c r="A861" t="s">
        <v>22</v>
      </c>
      <c r="B861" t="s">
        <v>32</v>
      </c>
      <c r="C861" s="5">
        <v>3.95</v>
      </c>
      <c r="D861" s="7">
        <v>28</v>
      </c>
      <c r="E861" s="6">
        <v>10.09</v>
      </c>
      <c r="F861">
        <v>86</v>
      </c>
      <c r="G861" s="3">
        <v>45009.291666666664</v>
      </c>
      <c r="H861" s="3">
        <v>45009.311111111114</v>
      </c>
      <c r="I861" s="3">
        <v>45009.307638888888</v>
      </c>
      <c r="J861" s="3">
        <v>45009.32708333333</v>
      </c>
      <c r="K861" t="s">
        <v>19</v>
      </c>
      <c r="L861" t="s">
        <v>20</v>
      </c>
      <c r="M861" t="str">
        <f>VLOOKUP(Table1[[#This Row],[Job_Status]],$V$2:$W$4,2,FALSE)</f>
        <v>Good</v>
      </c>
      <c r="N861" s="7">
        <f>VLOOKUP(Table1[[#This Row],[Job_Status]],$V$2:$X$4,3,FALSE)</f>
        <v>0</v>
      </c>
    </row>
    <row r="862" spans="1:14" x14ac:dyDescent="0.3">
      <c r="A862" t="s">
        <v>22</v>
      </c>
      <c r="B862" t="s">
        <v>27</v>
      </c>
      <c r="C862" s="5">
        <v>4.42</v>
      </c>
      <c r="D862" s="7">
        <v>102</v>
      </c>
      <c r="E862" s="6">
        <v>8.07</v>
      </c>
      <c r="F862">
        <v>95</v>
      </c>
      <c r="G862" s="3">
        <v>45009.298611111109</v>
      </c>
      <c r="H862" s="3">
        <v>45009.369444444441</v>
      </c>
      <c r="I862" s="3">
        <v>45009.298611111109</v>
      </c>
      <c r="J862" s="3">
        <v>45009.369444444441</v>
      </c>
      <c r="K862" t="s">
        <v>16</v>
      </c>
      <c r="L862" t="s">
        <v>28</v>
      </c>
      <c r="M862" t="str">
        <f>VLOOKUP(Table1[[#This Row],[Job_Status]],$V$2:$W$4,2,FALSE)</f>
        <v>Good</v>
      </c>
      <c r="N862" s="7">
        <f>VLOOKUP(Table1[[#This Row],[Job_Status]],$V$2:$X$4,3,FALSE)</f>
        <v>0</v>
      </c>
    </row>
    <row r="863" spans="1:14" x14ac:dyDescent="0.3">
      <c r="A863" t="s">
        <v>40</v>
      </c>
      <c r="B863" t="s">
        <v>36</v>
      </c>
      <c r="C863" s="5">
        <v>2.17</v>
      </c>
      <c r="D863" s="7">
        <v>68</v>
      </c>
      <c r="E863" s="6">
        <v>12.7</v>
      </c>
      <c r="F863">
        <v>98</v>
      </c>
      <c r="G863" s="3">
        <v>45009.305555555555</v>
      </c>
      <c r="H863" s="3">
        <v>45009.352777777778</v>
      </c>
      <c r="K863" t="s">
        <v>24</v>
      </c>
      <c r="L863" t="s">
        <v>20</v>
      </c>
      <c r="M863" t="str">
        <f>VLOOKUP(Table1[[#This Row],[Job_Status]],$V$2:$W$4,2,FALSE)</f>
        <v>Defect</v>
      </c>
      <c r="N863" s="7">
        <f>VLOOKUP(Table1[[#This Row],[Job_Status]],$V$2:$X$4,3,FALSE)</f>
        <v>100</v>
      </c>
    </row>
    <row r="864" spans="1:14" x14ac:dyDescent="0.3">
      <c r="A864" t="s">
        <v>14</v>
      </c>
      <c r="B864" t="s">
        <v>27</v>
      </c>
      <c r="C864" s="5">
        <v>3.2</v>
      </c>
      <c r="D864" s="7">
        <v>56</v>
      </c>
      <c r="E864" s="6">
        <v>2.5</v>
      </c>
      <c r="F864">
        <v>84</v>
      </c>
      <c r="G864" s="3">
        <v>45009.3125</v>
      </c>
      <c r="H864" s="3">
        <v>45009.351388888892</v>
      </c>
      <c r="I864" s="3">
        <v>45009.324999999997</v>
      </c>
      <c r="J864" s="3">
        <v>45009.363888888889</v>
      </c>
      <c r="K864" t="s">
        <v>19</v>
      </c>
      <c r="L864" t="s">
        <v>20</v>
      </c>
      <c r="M864" t="str">
        <f>VLOOKUP(Table1[[#This Row],[Job_Status]],$V$2:$W$4,2,FALSE)</f>
        <v>Good</v>
      </c>
      <c r="N864" s="7">
        <f>VLOOKUP(Table1[[#This Row],[Job_Status]],$V$2:$X$4,3,FALSE)</f>
        <v>0</v>
      </c>
    </row>
    <row r="865" spans="1:14" x14ac:dyDescent="0.3">
      <c r="A865" t="s">
        <v>40</v>
      </c>
      <c r="B865" t="s">
        <v>32</v>
      </c>
      <c r="C865" s="5">
        <v>2.91</v>
      </c>
      <c r="D865" s="7">
        <v>77</v>
      </c>
      <c r="E865" s="6">
        <v>9.83</v>
      </c>
      <c r="F865">
        <v>90</v>
      </c>
      <c r="G865" s="3">
        <v>45009.319444444445</v>
      </c>
      <c r="H865" s="3">
        <v>45009.372916666667</v>
      </c>
      <c r="I865" s="3">
        <v>45009.322916666664</v>
      </c>
      <c r="J865" s="3">
        <v>45009.376388888886</v>
      </c>
      <c r="K865" t="s">
        <v>16</v>
      </c>
      <c r="L865" t="s">
        <v>17</v>
      </c>
      <c r="M865" t="str">
        <f>VLOOKUP(Table1[[#This Row],[Job_Status]],$V$2:$W$4,2,FALSE)</f>
        <v>Good</v>
      </c>
      <c r="N865" s="7">
        <f>VLOOKUP(Table1[[#This Row],[Job_Status]],$V$2:$X$4,3,FALSE)</f>
        <v>0</v>
      </c>
    </row>
    <row r="866" spans="1:14" x14ac:dyDescent="0.3">
      <c r="A866" t="s">
        <v>30</v>
      </c>
      <c r="B866" t="s">
        <v>15</v>
      </c>
      <c r="C866" s="5">
        <v>4.28</v>
      </c>
      <c r="D866" s="7">
        <v>79</v>
      </c>
      <c r="E866" s="6">
        <v>10.56</v>
      </c>
      <c r="F866">
        <v>99</v>
      </c>
      <c r="G866" s="3">
        <v>45009.326388888891</v>
      </c>
      <c r="H866" s="3">
        <v>45009.381249999999</v>
      </c>
      <c r="I866" s="3">
        <v>45009.328472222223</v>
      </c>
      <c r="J866" s="3">
        <v>45009.383333333331</v>
      </c>
      <c r="K866" t="s">
        <v>16</v>
      </c>
      <c r="L866" t="s">
        <v>17</v>
      </c>
      <c r="M866" t="str">
        <f>VLOOKUP(Table1[[#This Row],[Job_Status]],$V$2:$W$4,2,FALSE)</f>
        <v>Good</v>
      </c>
      <c r="N866" s="7">
        <f>VLOOKUP(Table1[[#This Row],[Job_Status]],$V$2:$X$4,3,FALSE)</f>
        <v>0</v>
      </c>
    </row>
    <row r="867" spans="1:14" x14ac:dyDescent="0.3">
      <c r="A867" t="s">
        <v>22</v>
      </c>
      <c r="B867" t="s">
        <v>36</v>
      </c>
      <c r="C867" s="5">
        <v>1.95</v>
      </c>
      <c r="D867" s="7">
        <v>77</v>
      </c>
      <c r="E867" s="6">
        <v>7.76</v>
      </c>
      <c r="F867">
        <v>99</v>
      </c>
      <c r="G867" s="3">
        <v>45009.333333333336</v>
      </c>
      <c r="H867" s="3">
        <v>45009.386805555558</v>
      </c>
      <c r="I867" s="3">
        <v>45009.335416666669</v>
      </c>
      <c r="J867" s="3">
        <v>45009.388888888891</v>
      </c>
      <c r="K867" t="s">
        <v>16</v>
      </c>
      <c r="L867" t="s">
        <v>28</v>
      </c>
      <c r="M867" t="str">
        <f>VLOOKUP(Table1[[#This Row],[Job_Status]],$V$2:$W$4,2,FALSE)</f>
        <v>Good</v>
      </c>
      <c r="N867" s="7">
        <f>VLOOKUP(Table1[[#This Row],[Job_Status]],$V$2:$X$4,3,FALSE)</f>
        <v>0</v>
      </c>
    </row>
    <row r="868" spans="1:14" x14ac:dyDescent="0.3">
      <c r="A868" t="s">
        <v>14</v>
      </c>
      <c r="B868" t="s">
        <v>15</v>
      </c>
      <c r="C868" s="5">
        <v>4.32</v>
      </c>
      <c r="D868" s="7">
        <v>33</v>
      </c>
      <c r="E868" s="6">
        <v>2.4700000000000002</v>
      </c>
      <c r="F868">
        <v>88</v>
      </c>
      <c r="G868" s="3">
        <v>45009.340277777781</v>
      </c>
      <c r="H868" s="3">
        <v>45009.363194444442</v>
      </c>
      <c r="I868" s="3">
        <v>45009.338194444441</v>
      </c>
      <c r="J868" s="3">
        <v>45009.361111111109</v>
      </c>
      <c r="K868" t="s">
        <v>16</v>
      </c>
      <c r="L868" t="s">
        <v>20</v>
      </c>
      <c r="M868" t="str">
        <f>VLOOKUP(Table1[[#This Row],[Job_Status]],$V$2:$W$4,2,FALSE)</f>
        <v>Good</v>
      </c>
      <c r="N868" s="7">
        <f>VLOOKUP(Table1[[#This Row],[Job_Status]],$V$2:$X$4,3,FALSE)</f>
        <v>0</v>
      </c>
    </row>
    <row r="869" spans="1:14" x14ac:dyDescent="0.3">
      <c r="A869" t="s">
        <v>30</v>
      </c>
      <c r="B869" t="s">
        <v>36</v>
      </c>
      <c r="C869" s="5">
        <v>4.1399999999999997</v>
      </c>
      <c r="D869" s="7">
        <v>81</v>
      </c>
      <c r="E869" s="6">
        <v>3.42</v>
      </c>
      <c r="F869">
        <v>88</v>
      </c>
      <c r="G869" s="3">
        <v>45009.347222222219</v>
      </c>
      <c r="H869" s="3">
        <v>45009.40347222222</v>
      </c>
      <c r="I869" s="3">
        <v>45009.354861111111</v>
      </c>
      <c r="J869" s="3">
        <v>45009.411111111112</v>
      </c>
      <c r="K869" t="s">
        <v>19</v>
      </c>
      <c r="L869" t="s">
        <v>20</v>
      </c>
      <c r="M869" t="str">
        <f>VLOOKUP(Table1[[#This Row],[Job_Status]],$V$2:$W$4,2,FALSE)</f>
        <v>Good</v>
      </c>
      <c r="N869" s="7">
        <f>VLOOKUP(Table1[[#This Row],[Job_Status]],$V$2:$X$4,3,FALSE)</f>
        <v>0</v>
      </c>
    </row>
    <row r="870" spans="1:14" x14ac:dyDescent="0.3">
      <c r="A870" t="s">
        <v>22</v>
      </c>
      <c r="B870" t="s">
        <v>32</v>
      </c>
      <c r="C870" s="5">
        <v>2.2999999999999998</v>
      </c>
      <c r="D870" s="7">
        <v>33</v>
      </c>
      <c r="E870" s="6">
        <v>7.36</v>
      </c>
      <c r="F870">
        <v>80</v>
      </c>
      <c r="G870" s="3">
        <v>45009.354166666664</v>
      </c>
      <c r="H870" s="3">
        <v>45009.377083333333</v>
      </c>
      <c r="I870" s="3">
        <v>45009.369444444441</v>
      </c>
      <c r="J870" s="3">
        <v>45009.392361111109</v>
      </c>
      <c r="K870" t="s">
        <v>19</v>
      </c>
      <c r="L870" t="s">
        <v>20</v>
      </c>
      <c r="M870" t="str">
        <f>VLOOKUP(Table1[[#This Row],[Job_Status]],$V$2:$W$4,2,FALSE)</f>
        <v>Good</v>
      </c>
      <c r="N870" s="7">
        <f>VLOOKUP(Table1[[#This Row],[Job_Status]],$V$2:$X$4,3,FALSE)</f>
        <v>0</v>
      </c>
    </row>
    <row r="871" spans="1:14" x14ac:dyDescent="0.3">
      <c r="A871" t="s">
        <v>22</v>
      </c>
      <c r="B871" t="s">
        <v>27</v>
      </c>
      <c r="C871" s="5">
        <v>4.8099999999999996</v>
      </c>
      <c r="D871" s="7">
        <v>39</v>
      </c>
      <c r="E871" s="6">
        <v>13.37</v>
      </c>
      <c r="F871">
        <v>88</v>
      </c>
      <c r="G871" s="3">
        <v>45009.361111111109</v>
      </c>
      <c r="H871" s="3">
        <v>45009.388194444444</v>
      </c>
      <c r="I871" s="3">
        <v>45009.361111111109</v>
      </c>
      <c r="J871" s="3">
        <v>45009.388194444444</v>
      </c>
      <c r="K871" t="s">
        <v>16</v>
      </c>
      <c r="L871" t="s">
        <v>17</v>
      </c>
      <c r="M871" t="str">
        <f>VLOOKUP(Table1[[#This Row],[Job_Status]],$V$2:$W$4,2,FALSE)</f>
        <v>Good</v>
      </c>
      <c r="N871" s="7">
        <f>VLOOKUP(Table1[[#This Row],[Job_Status]],$V$2:$X$4,3,FALSE)</f>
        <v>0</v>
      </c>
    </row>
    <row r="872" spans="1:14" x14ac:dyDescent="0.3">
      <c r="A872" t="s">
        <v>14</v>
      </c>
      <c r="B872" t="s">
        <v>32</v>
      </c>
      <c r="C872" s="5">
        <v>2.68</v>
      </c>
      <c r="D872" s="7">
        <v>79</v>
      </c>
      <c r="E872" s="6">
        <v>12.19</v>
      </c>
      <c r="F872">
        <v>88</v>
      </c>
      <c r="G872" s="3">
        <v>45009.368055555555</v>
      </c>
      <c r="H872" s="3">
        <v>45009.42291666667</v>
      </c>
      <c r="I872" s="3">
        <v>45009.371527777781</v>
      </c>
      <c r="J872" s="3">
        <v>45009.426388888889</v>
      </c>
      <c r="K872" t="s">
        <v>16</v>
      </c>
      <c r="L872" t="s">
        <v>17</v>
      </c>
      <c r="M872" t="str">
        <f>VLOOKUP(Table1[[#This Row],[Job_Status]],$V$2:$W$4,2,FALSE)</f>
        <v>Good</v>
      </c>
      <c r="N872" s="7">
        <f>VLOOKUP(Table1[[#This Row],[Job_Status]],$V$2:$X$4,3,FALSE)</f>
        <v>0</v>
      </c>
    </row>
    <row r="873" spans="1:14" x14ac:dyDescent="0.3">
      <c r="A873" t="s">
        <v>40</v>
      </c>
      <c r="B873" t="s">
        <v>27</v>
      </c>
      <c r="C873" s="5">
        <v>1.47</v>
      </c>
      <c r="D873" s="7">
        <v>72</v>
      </c>
      <c r="E873" s="6">
        <v>13.33</v>
      </c>
      <c r="F873">
        <v>87</v>
      </c>
      <c r="G873" s="3">
        <v>45009.375</v>
      </c>
      <c r="H873" s="3">
        <v>45009.425000000003</v>
      </c>
      <c r="I873" s="3">
        <v>45009.37222222222</v>
      </c>
      <c r="J873" s="3">
        <v>45009.422222222223</v>
      </c>
      <c r="K873" t="s">
        <v>16</v>
      </c>
      <c r="L873" t="s">
        <v>20</v>
      </c>
      <c r="M873" t="str">
        <f>VLOOKUP(Table1[[#This Row],[Job_Status]],$V$2:$W$4,2,FALSE)</f>
        <v>Good</v>
      </c>
      <c r="N873" s="7">
        <f>VLOOKUP(Table1[[#This Row],[Job_Status]],$V$2:$X$4,3,FALSE)</f>
        <v>0</v>
      </c>
    </row>
    <row r="874" spans="1:14" x14ac:dyDescent="0.3">
      <c r="A874" t="s">
        <v>40</v>
      </c>
      <c r="B874" t="s">
        <v>27</v>
      </c>
      <c r="C874" s="5">
        <v>3.74</v>
      </c>
      <c r="D874" s="7">
        <v>91</v>
      </c>
      <c r="E874" s="6">
        <v>5.32</v>
      </c>
      <c r="F874">
        <v>96</v>
      </c>
      <c r="G874" s="3">
        <v>45009.381944444445</v>
      </c>
      <c r="H874" s="3">
        <v>45009.445138888892</v>
      </c>
      <c r="I874" s="3">
        <v>45009.382638888892</v>
      </c>
      <c r="J874" s="3">
        <v>45009.445833333331</v>
      </c>
      <c r="K874" t="s">
        <v>16</v>
      </c>
      <c r="L874" t="s">
        <v>28</v>
      </c>
      <c r="M874" t="str">
        <f>VLOOKUP(Table1[[#This Row],[Job_Status]],$V$2:$W$4,2,FALSE)</f>
        <v>Good</v>
      </c>
      <c r="N874" s="7">
        <f>VLOOKUP(Table1[[#This Row],[Job_Status]],$V$2:$X$4,3,FALSE)</f>
        <v>0</v>
      </c>
    </row>
    <row r="875" spans="1:14" x14ac:dyDescent="0.3">
      <c r="A875" t="s">
        <v>30</v>
      </c>
      <c r="B875" t="s">
        <v>27</v>
      </c>
      <c r="C875" s="5">
        <v>1.97</v>
      </c>
      <c r="D875" s="7">
        <v>109</v>
      </c>
      <c r="E875" s="6">
        <v>8.73</v>
      </c>
      <c r="F875">
        <v>91</v>
      </c>
      <c r="G875" s="3">
        <v>45009.388888888891</v>
      </c>
      <c r="H875" s="3">
        <v>45009.464583333334</v>
      </c>
      <c r="I875" s="3">
        <v>45009.386111111111</v>
      </c>
      <c r="J875" s="3">
        <v>45009.461805555555</v>
      </c>
      <c r="K875" t="s">
        <v>16</v>
      </c>
      <c r="L875" t="s">
        <v>20</v>
      </c>
      <c r="M875" t="str">
        <f>VLOOKUP(Table1[[#This Row],[Job_Status]],$V$2:$W$4,2,FALSE)</f>
        <v>Good</v>
      </c>
      <c r="N875" s="7">
        <f>VLOOKUP(Table1[[#This Row],[Job_Status]],$V$2:$X$4,3,FALSE)</f>
        <v>0</v>
      </c>
    </row>
    <row r="876" spans="1:14" x14ac:dyDescent="0.3">
      <c r="A876" t="s">
        <v>40</v>
      </c>
      <c r="B876" t="s">
        <v>32</v>
      </c>
      <c r="C876" s="5">
        <v>3.84</v>
      </c>
      <c r="D876" s="7">
        <v>74</v>
      </c>
      <c r="E876" s="6">
        <v>9.06</v>
      </c>
      <c r="F876">
        <v>83</v>
      </c>
      <c r="G876" s="3">
        <v>45009.395833333336</v>
      </c>
      <c r="H876" s="3">
        <v>45009.447222222225</v>
      </c>
      <c r="I876" s="3">
        <v>45009.392361111109</v>
      </c>
      <c r="J876" s="3">
        <v>45009.443749999999</v>
      </c>
      <c r="K876" t="s">
        <v>16</v>
      </c>
      <c r="L876" t="s">
        <v>20</v>
      </c>
      <c r="M876" t="str">
        <f>VLOOKUP(Table1[[#This Row],[Job_Status]],$V$2:$W$4,2,FALSE)</f>
        <v>Good</v>
      </c>
      <c r="N876" s="7">
        <f>VLOOKUP(Table1[[#This Row],[Job_Status]],$V$2:$X$4,3,FALSE)</f>
        <v>0</v>
      </c>
    </row>
    <row r="877" spans="1:14" x14ac:dyDescent="0.3">
      <c r="A877" t="s">
        <v>40</v>
      </c>
      <c r="B877" t="s">
        <v>23</v>
      </c>
      <c r="C877" s="5">
        <v>2.2799999999999998</v>
      </c>
      <c r="D877" s="7">
        <v>85</v>
      </c>
      <c r="E877" s="6">
        <v>13.44</v>
      </c>
      <c r="F877">
        <v>93</v>
      </c>
      <c r="G877" s="3">
        <v>45009.402777777781</v>
      </c>
      <c r="H877" s="3">
        <v>45009.461805555555</v>
      </c>
      <c r="I877" s="3">
        <v>45009.399305555555</v>
      </c>
      <c r="J877" s="3">
        <v>45009.458333333336</v>
      </c>
      <c r="K877" t="s">
        <v>16</v>
      </c>
      <c r="L877" t="s">
        <v>20</v>
      </c>
      <c r="M877" t="str">
        <f>VLOOKUP(Table1[[#This Row],[Job_Status]],$V$2:$W$4,2,FALSE)</f>
        <v>Good</v>
      </c>
      <c r="N877" s="7">
        <f>VLOOKUP(Table1[[#This Row],[Job_Status]],$V$2:$X$4,3,FALSE)</f>
        <v>0</v>
      </c>
    </row>
    <row r="878" spans="1:14" x14ac:dyDescent="0.3">
      <c r="A878" t="s">
        <v>30</v>
      </c>
      <c r="B878" t="s">
        <v>32</v>
      </c>
      <c r="C878" s="5">
        <v>3.39</v>
      </c>
      <c r="D878" s="7">
        <v>55</v>
      </c>
      <c r="E878" s="6">
        <v>2.6</v>
      </c>
      <c r="F878">
        <v>81</v>
      </c>
      <c r="G878" s="3">
        <v>45009.409722222219</v>
      </c>
      <c r="H878" s="3">
        <v>45009.447916666664</v>
      </c>
      <c r="I878" s="3">
        <v>45009.418055555558</v>
      </c>
      <c r="J878" s="3">
        <v>45009.456250000003</v>
      </c>
      <c r="K878" t="s">
        <v>19</v>
      </c>
      <c r="L878" t="s">
        <v>20</v>
      </c>
      <c r="M878" t="str">
        <f>VLOOKUP(Table1[[#This Row],[Job_Status]],$V$2:$W$4,2,FALSE)</f>
        <v>Good</v>
      </c>
      <c r="N878" s="7">
        <f>VLOOKUP(Table1[[#This Row],[Job_Status]],$V$2:$X$4,3,FALSE)</f>
        <v>0</v>
      </c>
    </row>
    <row r="879" spans="1:14" x14ac:dyDescent="0.3">
      <c r="A879" t="s">
        <v>34</v>
      </c>
      <c r="B879" t="s">
        <v>32</v>
      </c>
      <c r="C879" s="5">
        <v>2.41</v>
      </c>
      <c r="D879" s="7">
        <v>23</v>
      </c>
      <c r="E879" s="6">
        <v>6.93</v>
      </c>
      <c r="F879">
        <v>99</v>
      </c>
      <c r="G879" s="3">
        <v>45009.416666666664</v>
      </c>
      <c r="H879" s="3">
        <v>45009.432638888888</v>
      </c>
      <c r="I879" s="3">
        <v>45009.436111111114</v>
      </c>
      <c r="J879" s="3">
        <v>45009.45208333333</v>
      </c>
      <c r="K879" t="s">
        <v>19</v>
      </c>
      <c r="L879" t="s">
        <v>20</v>
      </c>
      <c r="M879" t="str">
        <f>VLOOKUP(Table1[[#This Row],[Job_Status]],$V$2:$W$4,2,FALSE)</f>
        <v>Good</v>
      </c>
      <c r="N879" s="7">
        <f>VLOOKUP(Table1[[#This Row],[Job_Status]],$V$2:$X$4,3,FALSE)</f>
        <v>0</v>
      </c>
    </row>
    <row r="880" spans="1:14" x14ac:dyDescent="0.3">
      <c r="A880" t="s">
        <v>34</v>
      </c>
      <c r="B880" t="s">
        <v>32</v>
      </c>
      <c r="C880" s="5">
        <v>3.92</v>
      </c>
      <c r="D880" s="7">
        <v>116</v>
      </c>
      <c r="E880" s="6">
        <v>3.49</v>
      </c>
      <c r="F880">
        <v>88</v>
      </c>
      <c r="G880" s="3">
        <v>45009.423611111109</v>
      </c>
      <c r="H880" s="3">
        <v>45009.504166666666</v>
      </c>
      <c r="I880" s="3">
        <v>45009.423611111109</v>
      </c>
      <c r="J880" s="3">
        <v>45009.504166666666</v>
      </c>
      <c r="K880" t="s">
        <v>16</v>
      </c>
      <c r="L880" t="s">
        <v>28</v>
      </c>
      <c r="M880" t="str">
        <f>VLOOKUP(Table1[[#This Row],[Job_Status]],$V$2:$W$4,2,FALSE)</f>
        <v>Good</v>
      </c>
      <c r="N880" s="7">
        <f>VLOOKUP(Table1[[#This Row],[Job_Status]],$V$2:$X$4,3,FALSE)</f>
        <v>0</v>
      </c>
    </row>
    <row r="881" spans="1:14" x14ac:dyDescent="0.3">
      <c r="A881" t="s">
        <v>34</v>
      </c>
      <c r="B881" t="s">
        <v>23</v>
      </c>
      <c r="C881" s="5">
        <v>2.13</v>
      </c>
      <c r="D881" s="7">
        <v>52</v>
      </c>
      <c r="E881" s="6">
        <v>13.14</v>
      </c>
      <c r="F881">
        <v>81</v>
      </c>
      <c r="G881" s="3">
        <v>45009.430555555555</v>
      </c>
      <c r="H881" s="3">
        <v>45009.466666666667</v>
      </c>
      <c r="K881" t="s">
        <v>24</v>
      </c>
      <c r="L881" t="s">
        <v>20</v>
      </c>
      <c r="M881" t="str">
        <f>VLOOKUP(Table1[[#This Row],[Job_Status]],$V$2:$W$4,2,FALSE)</f>
        <v>Defect</v>
      </c>
      <c r="N881" s="7">
        <f>VLOOKUP(Table1[[#This Row],[Job_Status]],$V$2:$X$4,3,FALSE)</f>
        <v>100</v>
      </c>
    </row>
    <row r="882" spans="1:14" x14ac:dyDescent="0.3">
      <c r="A882" t="s">
        <v>30</v>
      </c>
      <c r="B882" t="s">
        <v>15</v>
      </c>
      <c r="C882" s="5">
        <v>4.08</v>
      </c>
      <c r="D882" s="7">
        <v>64</v>
      </c>
      <c r="E882" s="6">
        <v>2.12</v>
      </c>
      <c r="F882">
        <v>98</v>
      </c>
      <c r="G882" s="3">
        <v>45009.4375</v>
      </c>
      <c r="H882" s="3">
        <v>45009.481944444444</v>
      </c>
      <c r="K882" t="s">
        <v>24</v>
      </c>
      <c r="L882" t="s">
        <v>20</v>
      </c>
      <c r="M882" t="str">
        <f>VLOOKUP(Table1[[#This Row],[Job_Status]],$V$2:$W$4,2,FALSE)</f>
        <v>Defect</v>
      </c>
      <c r="N882" s="7">
        <f>VLOOKUP(Table1[[#This Row],[Job_Status]],$V$2:$X$4,3,FALSE)</f>
        <v>100</v>
      </c>
    </row>
    <row r="883" spans="1:14" x14ac:dyDescent="0.3">
      <c r="A883" t="s">
        <v>40</v>
      </c>
      <c r="B883" t="s">
        <v>15</v>
      </c>
      <c r="C883" s="5">
        <v>3.08</v>
      </c>
      <c r="D883" s="7">
        <v>105</v>
      </c>
      <c r="E883" s="6">
        <v>10.44</v>
      </c>
      <c r="F883">
        <v>98</v>
      </c>
      <c r="G883" s="3">
        <v>45009.444444444445</v>
      </c>
      <c r="H883" s="3">
        <v>45009.517361111109</v>
      </c>
      <c r="I883" s="3">
        <v>45009.446527777778</v>
      </c>
      <c r="J883" s="3">
        <v>45009.519444444442</v>
      </c>
      <c r="K883" t="s">
        <v>16</v>
      </c>
      <c r="L883" t="s">
        <v>17</v>
      </c>
      <c r="M883" t="str">
        <f>VLOOKUP(Table1[[#This Row],[Job_Status]],$V$2:$W$4,2,FALSE)</f>
        <v>Good</v>
      </c>
      <c r="N883" s="7">
        <f>VLOOKUP(Table1[[#This Row],[Job_Status]],$V$2:$X$4,3,FALSE)</f>
        <v>0</v>
      </c>
    </row>
    <row r="884" spans="1:14" x14ac:dyDescent="0.3">
      <c r="A884" t="s">
        <v>34</v>
      </c>
      <c r="B884" t="s">
        <v>27</v>
      </c>
      <c r="C884" s="5">
        <v>3.27</v>
      </c>
      <c r="D884" s="7">
        <v>60</v>
      </c>
      <c r="E884" s="6">
        <v>7.5</v>
      </c>
      <c r="F884">
        <v>90</v>
      </c>
      <c r="G884" s="3">
        <v>45009.451388888891</v>
      </c>
      <c r="H884" s="3">
        <v>45009.493055555555</v>
      </c>
      <c r="I884" s="3">
        <v>45009.449305555558</v>
      </c>
      <c r="J884" s="3">
        <v>45009.490972222222</v>
      </c>
      <c r="K884" t="s">
        <v>16</v>
      </c>
      <c r="L884" t="s">
        <v>20</v>
      </c>
      <c r="M884" t="str">
        <f>VLOOKUP(Table1[[#This Row],[Job_Status]],$V$2:$W$4,2,FALSE)</f>
        <v>Good</v>
      </c>
      <c r="N884" s="7">
        <f>VLOOKUP(Table1[[#This Row],[Job_Status]],$V$2:$X$4,3,FALSE)</f>
        <v>0</v>
      </c>
    </row>
    <row r="885" spans="1:14" x14ac:dyDescent="0.3">
      <c r="A885" t="s">
        <v>30</v>
      </c>
      <c r="B885" t="s">
        <v>32</v>
      </c>
      <c r="C885" s="5">
        <v>2.12</v>
      </c>
      <c r="D885" s="7">
        <v>43</v>
      </c>
      <c r="E885" s="6">
        <v>3.75</v>
      </c>
      <c r="F885">
        <v>84</v>
      </c>
      <c r="G885" s="3">
        <v>45009.458333333336</v>
      </c>
      <c r="H885" s="3">
        <v>45009.488194444442</v>
      </c>
      <c r="I885" s="3">
        <v>45009.461805555555</v>
      </c>
      <c r="J885" s="3">
        <v>45009.491666666669</v>
      </c>
      <c r="K885" t="s">
        <v>16</v>
      </c>
      <c r="L885" t="s">
        <v>28</v>
      </c>
      <c r="M885" t="str">
        <f>VLOOKUP(Table1[[#This Row],[Job_Status]],$V$2:$W$4,2,FALSE)</f>
        <v>Good</v>
      </c>
      <c r="N885" s="7">
        <f>VLOOKUP(Table1[[#This Row],[Job_Status]],$V$2:$X$4,3,FALSE)</f>
        <v>0</v>
      </c>
    </row>
    <row r="886" spans="1:14" x14ac:dyDescent="0.3">
      <c r="A886" t="s">
        <v>30</v>
      </c>
      <c r="B886" t="s">
        <v>15</v>
      </c>
      <c r="C886" s="5">
        <v>3.58</v>
      </c>
      <c r="D886" s="7">
        <v>32</v>
      </c>
      <c r="E886" s="6">
        <v>13.96</v>
      </c>
      <c r="F886">
        <v>82</v>
      </c>
      <c r="G886" s="3">
        <v>45009.465277777781</v>
      </c>
      <c r="H886" s="3">
        <v>45009.487500000003</v>
      </c>
      <c r="I886" s="3">
        <v>45009.463888888888</v>
      </c>
      <c r="J886" s="3">
        <v>45009.486111111109</v>
      </c>
      <c r="K886" t="s">
        <v>16</v>
      </c>
      <c r="L886" t="s">
        <v>20</v>
      </c>
      <c r="M886" t="str">
        <f>VLOOKUP(Table1[[#This Row],[Job_Status]],$V$2:$W$4,2,FALSE)</f>
        <v>Good</v>
      </c>
      <c r="N886" s="7">
        <f>VLOOKUP(Table1[[#This Row],[Job_Status]],$V$2:$X$4,3,FALSE)</f>
        <v>0</v>
      </c>
    </row>
    <row r="887" spans="1:14" x14ac:dyDescent="0.3">
      <c r="A887" t="s">
        <v>34</v>
      </c>
      <c r="B887" t="s">
        <v>36</v>
      </c>
      <c r="C887" s="5">
        <v>4.9800000000000004</v>
      </c>
      <c r="D887" s="7">
        <v>45</v>
      </c>
      <c r="E887" s="6">
        <v>8.68</v>
      </c>
      <c r="F887">
        <v>95</v>
      </c>
      <c r="G887" s="3">
        <v>45009.472222222219</v>
      </c>
      <c r="H887" s="3">
        <v>45009.503472222219</v>
      </c>
      <c r="I887" s="3">
        <v>45009.475694444445</v>
      </c>
      <c r="J887" s="3">
        <v>45009.506944444445</v>
      </c>
      <c r="K887" t="s">
        <v>16</v>
      </c>
      <c r="L887" t="s">
        <v>17</v>
      </c>
      <c r="M887" t="str">
        <f>VLOOKUP(Table1[[#This Row],[Job_Status]],$V$2:$W$4,2,FALSE)</f>
        <v>Good</v>
      </c>
      <c r="N887" s="7">
        <f>VLOOKUP(Table1[[#This Row],[Job_Status]],$V$2:$X$4,3,FALSE)</f>
        <v>0</v>
      </c>
    </row>
    <row r="888" spans="1:14" x14ac:dyDescent="0.3">
      <c r="A888" t="s">
        <v>22</v>
      </c>
      <c r="B888" t="s">
        <v>36</v>
      </c>
      <c r="C888" s="5">
        <v>3.75</v>
      </c>
      <c r="D888" s="7">
        <v>25</v>
      </c>
      <c r="E888" s="6">
        <v>9.4</v>
      </c>
      <c r="F888">
        <v>90</v>
      </c>
      <c r="G888" s="3">
        <v>45009.479166666664</v>
      </c>
      <c r="H888" s="3">
        <v>45009.496527777781</v>
      </c>
      <c r="I888" s="3">
        <v>45009.475694444445</v>
      </c>
      <c r="J888" s="3">
        <v>45009.493055555555</v>
      </c>
      <c r="K888" t="s">
        <v>16</v>
      </c>
      <c r="L888" t="s">
        <v>20</v>
      </c>
      <c r="M888" t="str">
        <f>VLOOKUP(Table1[[#This Row],[Job_Status]],$V$2:$W$4,2,FALSE)</f>
        <v>Good</v>
      </c>
      <c r="N888" s="7">
        <f>VLOOKUP(Table1[[#This Row],[Job_Status]],$V$2:$X$4,3,FALSE)</f>
        <v>0</v>
      </c>
    </row>
    <row r="889" spans="1:14" x14ac:dyDescent="0.3">
      <c r="A889" t="s">
        <v>22</v>
      </c>
      <c r="B889" t="s">
        <v>27</v>
      </c>
      <c r="C889" s="5">
        <v>1.69</v>
      </c>
      <c r="D889" s="7">
        <v>105</v>
      </c>
      <c r="E889" s="6">
        <v>11.47</v>
      </c>
      <c r="F889">
        <v>87</v>
      </c>
      <c r="G889" s="3">
        <v>45009.486111111109</v>
      </c>
      <c r="H889" s="3">
        <v>45009.559027777781</v>
      </c>
      <c r="I889" s="3">
        <v>45009.487500000003</v>
      </c>
      <c r="J889" s="3">
        <v>45009.560416666667</v>
      </c>
      <c r="K889" t="s">
        <v>16</v>
      </c>
      <c r="L889" t="s">
        <v>17</v>
      </c>
      <c r="M889" t="str">
        <f>VLOOKUP(Table1[[#This Row],[Job_Status]],$V$2:$W$4,2,FALSE)</f>
        <v>Good</v>
      </c>
      <c r="N889" s="7">
        <f>VLOOKUP(Table1[[#This Row],[Job_Status]],$V$2:$X$4,3,FALSE)</f>
        <v>0</v>
      </c>
    </row>
    <row r="890" spans="1:14" x14ac:dyDescent="0.3">
      <c r="A890" t="s">
        <v>30</v>
      </c>
      <c r="B890" t="s">
        <v>23</v>
      </c>
      <c r="C890" s="5">
        <v>4.87</v>
      </c>
      <c r="D890" s="7">
        <v>82</v>
      </c>
      <c r="E890" s="6">
        <v>4.26</v>
      </c>
      <c r="F890">
        <v>94</v>
      </c>
      <c r="G890" s="3">
        <v>45009.493055555555</v>
      </c>
      <c r="H890" s="3">
        <v>45009.55</v>
      </c>
      <c r="I890" s="3">
        <v>45009.500694444447</v>
      </c>
      <c r="J890" s="3">
        <v>45009.557638888888</v>
      </c>
      <c r="K890" t="s">
        <v>19</v>
      </c>
      <c r="L890" t="s">
        <v>20</v>
      </c>
      <c r="M890" t="str">
        <f>VLOOKUP(Table1[[#This Row],[Job_Status]],$V$2:$W$4,2,FALSE)</f>
        <v>Good</v>
      </c>
      <c r="N890" s="7">
        <f>VLOOKUP(Table1[[#This Row],[Job_Status]],$V$2:$X$4,3,FALSE)</f>
        <v>0</v>
      </c>
    </row>
    <row r="891" spans="1:14" x14ac:dyDescent="0.3">
      <c r="A891" t="s">
        <v>40</v>
      </c>
      <c r="B891" t="s">
        <v>32</v>
      </c>
      <c r="C891" s="5">
        <v>3.51</v>
      </c>
      <c r="D891" s="7">
        <v>78</v>
      </c>
      <c r="E891" s="6">
        <v>2.95</v>
      </c>
      <c r="F891">
        <v>87</v>
      </c>
      <c r="G891" s="3">
        <v>45009.5</v>
      </c>
      <c r="H891" s="3">
        <v>45009.554166666669</v>
      </c>
      <c r="K891" t="s">
        <v>24</v>
      </c>
      <c r="L891" t="s">
        <v>20</v>
      </c>
      <c r="M891" t="str">
        <f>VLOOKUP(Table1[[#This Row],[Job_Status]],$V$2:$W$4,2,FALSE)</f>
        <v>Defect</v>
      </c>
      <c r="N891" s="7">
        <f>VLOOKUP(Table1[[#This Row],[Job_Status]],$V$2:$X$4,3,FALSE)</f>
        <v>100</v>
      </c>
    </row>
    <row r="892" spans="1:14" x14ac:dyDescent="0.3">
      <c r="A892" t="s">
        <v>14</v>
      </c>
      <c r="B892" t="s">
        <v>36</v>
      </c>
      <c r="C892" s="5">
        <v>2.5299999999999998</v>
      </c>
      <c r="D892" s="7">
        <v>30</v>
      </c>
      <c r="E892" s="6">
        <v>13.66</v>
      </c>
      <c r="F892">
        <v>92</v>
      </c>
      <c r="G892" s="3">
        <v>45009.506944444445</v>
      </c>
      <c r="H892" s="3">
        <v>45009.527777777781</v>
      </c>
      <c r="I892" s="3">
        <v>45009.506249999999</v>
      </c>
      <c r="J892" s="3">
        <v>45009.527083333334</v>
      </c>
      <c r="K892" t="s">
        <v>16</v>
      </c>
      <c r="L892" t="s">
        <v>20</v>
      </c>
      <c r="M892" t="str">
        <f>VLOOKUP(Table1[[#This Row],[Job_Status]],$V$2:$W$4,2,FALSE)</f>
        <v>Good</v>
      </c>
      <c r="N892" s="7">
        <f>VLOOKUP(Table1[[#This Row],[Job_Status]],$V$2:$X$4,3,FALSE)</f>
        <v>0</v>
      </c>
    </row>
    <row r="893" spans="1:14" x14ac:dyDescent="0.3">
      <c r="A893" t="s">
        <v>30</v>
      </c>
      <c r="B893" t="s">
        <v>32</v>
      </c>
      <c r="C893" s="5">
        <v>3.14</v>
      </c>
      <c r="D893" s="7">
        <v>104</v>
      </c>
      <c r="E893" s="6">
        <v>3.16</v>
      </c>
      <c r="F893">
        <v>92</v>
      </c>
      <c r="G893" s="3">
        <v>45009.513888888891</v>
      </c>
      <c r="H893" s="3">
        <v>45009.586111111108</v>
      </c>
      <c r="I893" s="3">
        <v>45009.510416666664</v>
      </c>
      <c r="J893" s="3">
        <v>45009.582638888889</v>
      </c>
      <c r="K893" t="s">
        <v>16</v>
      </c>
      <c r="L893" t="s">
        <v>20</v>
      </c>
      <c r="M893" t="str">
        <f>VLOOKUP(Table1[[#This Row],[Job_Status]],$V$2:$W$4,2,FALSE)</f>
        <v>Good</v>
      </c>
      <c r="N893" s="7">
        <f>VLOOKUP(Table1[[#This Row],[Job_Status]],$V$2:$X$4,3,FALSE)</f>
        <v>0</v>
      </c>
    </row>
    <row r="894" spans="1:14" x14ac:dyDescent="0.3">
      <c r="A894" t="s">
        <v>30</v>
      </c>
      <c r="B894" t="s">
        <v>36</v>
      </c>
      <c r="C894" s="5">
        <v>4.6500000000000004</v>
      </c>
      <c r="D894" s="7">
        <v>43</v>
      </c>
      <c r="E894" s="6">
        <v>14.03</v>
      </c>
      <c r="F894">
        <v>91</v>
      </c>
      <c r="G894" s="3">
        <v>45009.520833333336</v>
      </c>
      <c r="H894" s="3">
        <v>45009.550694444442</v>
      </c>
      <c r="I894" s="3">
        <v>45009.521527777775</v>
      </c>
      <c r="J894" s="3">
        <v>45009.551388888889</v>
      </c>
      <c r="K894" t="s">
        <v>16</v>
      </c>
      <c r="L894" t="s">
        <v>17</v>
      </c>
      <c r="M894" t="str">
        <f>VLOOKUP(Table1[[#This Row],[Job_Status]],$V$2:$W$4,2,FALSE)</f>
        <v>Good</v>
      </c>
      <c r="N894" s="7">
        <f>VLOOKUP(Table1[[#This Row],[Job_Status]],$V$2:$X$4,3,FALSE)</f>
        <v>0</v>
      </c>
    </row>
    <row r="895" spans="1:14" x14ac:dyDescent="0.3">
      <c r="A895" t="s">
        <v>22</v>
      </c>
      <c r="B895" t="s">
        <v>27</v>
      </c>
      <c r="C895" s="5">
        <v>3.22</v>
      </c>
      <c r="D895" s="7">
        <v>115</v>
      </c>
      <c r="E895" s="6">
        <v>12.2</v>
      </c>
      <c r="F895">
        <v>90</v>
      </c>
      <c r="G895" s="3">
        <v>45009.527777777781</v>
      </c>
      <c r="H895" s="3">
        <v>45009.607638888891</v>
      </c>
      <c r="I895" s="3">
        <v>45009.529861111114</v>
      </c>
      <c r="J895" s="3">
        <v>45009.609722222223</v>
      </c>
      <c r="K895" t="s">
        <v>16</v>
      </c>
      <c r="L895" t="s">
        <v>17</v>
      </c>
      <c r="M895" t="str">
        <f>VLOOKUP(Table1[[#This Row],[Job_Status]],$V$2:$W$4,2,FALSE)</f>
        <v>Good</v>
      </c>
      <c r="N895" s="7">
        <f>VLOOKUP(Table1[[#This Row],[Job_Status]],$V$2:$X$4,3,FALSE)</f>
        <v>0</v>
      </c>
    </row>
    <row r="896" spans="1:14" x14ac:dyDescent="0.3">
      <c r="A896" t="s">
        <v>14</v>
      </c>
      <c r="B896" t="s">
        <v>32</v>
      </c>
      <c r="C896" s="5">
        <v>1.58</v>
      </c>
      <c r="D896" s="7">
        <v>68</v>
      </c>
      <c r="E896" s="6">
        <v>12.26</v>
      </c>
      <c r="F896">
        <v>94</v>
      </c>
      <c r="G896" s="3">
        <v>45009.534722222219</v>
      </c>
      <c r="H896" s="3">
        <v>45009.581944444442</v>
      </c>
      <c r="I896" s="3">
        <v>45009.531944444447</v>
      </c>
      <c r="J896" s="3">
        <v>45009.57916666667</v>
      </c>
      <c r="K896" t="s">
        <v>16</v>
      </c>
      <c r="L896" t="s">
        <v>20</v>
      </c>
      <c r="M896" t="str">
        <f>VLOOKUP(Table1[[#This Row],[Job_Status]],$V$2:$W$4,2,FALSE)</f>
        <v>Good</v>
      </c>
      <c r="N896" s="7">
        <f>VLOOKUP(Table1[[#This Row],[Job_Status]],$V$2:$X$4,3,FALSE)</f>
        <v>0</v>
      </c>
    </row>
    <row r="897" spans="1:14" x14ac:dyDescent="0.3">
      <c r="A897" t="s">
        <v>34</v>
      </c>
      <c r="B897" t="s">
        <v>23</v>
      </c>
      <c r="C897" s="5">
        <v>1.32</v>
      </c>
      <c r="D897" s="7">
        <v>82</v>
      </c>
      <c r="E897" s="6">
        <v>6.89</v>
      </c>
      <c r="F897">
        <v>93</v>
      </c>
      <c r="G897" s="3">
        <v>45009.541666666664</v>
      </c>
      <c r="H897" s="3">
        <v>45009.598611111112</v>
      </c>
      <c r="I897" s="3">
        <v>45009.544444444444</v>
      </c>
      <c r="J897" s="3">
        <v>45009.601388888892</v>
      </c>
      <c r="K897" t="s">
        <v>16</v>
      </c>
      <c r="L897" t="s">
        <v>28</v>
      </c>
      <c r="M897" t="str">
        <f>VLOOKUP(Table1[[#This Row],[Job_Status]],$V$2:$W$4,2,FALSE)</f>
        <v>Good</v>
      </c>
      <c r="N897" s="7">
        <f>VLOOKUP(Table1[[#This Row],[Job_Status]],$V$2:$X$4,3,FALSE)</f>
        <v>0</v>
      </c>
    </row>
    <row r="898" spans="1:14" x14ac:dyDescent="0.3">
      <c r="A898" t="s">
        <v>22</v>
      </c>
      <c r="B898" t="s">
        <v>15</v>
      </c>
      <c r="C898" s="5">
        <v>1.24</v>
      </c>
      <c r="D898" s="7">
        <v>109</v>
      </c>
      <c r="E898" s="6">
        <v>2.0499999999999998</v>
      </c>
      <c r="F898">
        <v>97</v>
      </c>
      <c r="G898" s="3">
        <v>45009.548611111109</v>
      </c>
      <c r="H898" s="3">
        <v>45009.624305555553</v>
      </c>
      <c r="I898" s="3">
        <v>45009.550694444442</v>
      </c>
      <c r="J898" s="3">
        <v>45009.626388888886</v>
      </c>
      <c r="K898" t="s">
        <v>16</v>
      </c>
      <c r="L898" t="s">
        <v>28</v>
      </c>
      <c r="M898" t="str">
        <f>VLOOKUP(Table1[[#This Row],[Job_Status]],$V$2:$W$4,2,FALSE)</f>
        <v>Good</v>
      </c>
      <c r="N898" s="7">
        <f>VLOOKUP(Table1[[#This Row],[Job_Status]],$V$2:$X$4,3,FALSE)</f>
        <v>0</v>
      </c>
    </row>
    <row r="899" spans="1:14" x14ac:dyDescent="0.3">
      <c r="A899" t="s">
        <v>34</v>
      </c>
      <c r="B899" t="s">
        <v>15</v>
      </c>
      <c r="C899" s="5">
        <v>2.04</v>
      </c>
      <c r="D899" s="7">
        <v>60</v>
      </c>
      <c r="E899" s="6">
        <v>9.2899999999999991</v>
      </c>
      <c r="F899">
        <v>99</v>
      </c>
      <c r="G899" s="3">
        <v>45009.555555555555</v>
      </c>
      <c r="H899" s="3">
        <v>45009.597222222219</v>
      </c>
      <c r="I899" s="3">
        <v>45009.554166666669</v>
      </c>
      <c r="J899" s="3">
        <v>45009.595833333333</v>
      </c>
      <c r="K899" t="s">
        <v>16</v>
      </c>
      <c r="L899" t="s">
        <v>20</v>
      </c>
      <c r="M899" t="str">
        <f>VLOOKUP(Table1[[#This Row],[Job_Status]],$V$2:$W$4,2,FALSE)</f>
        <v>Good</v>
      </c>
      <c r="N899" s="7">
        <f>VLOOKUP(Table1[[#This Row],[Job_Status]],$V$2:$X$4,3,FALSE)</f>
        <v>0</v>
      </c>
    </row>
    <row r="900" spans="1:14" x14ac:dyDescent="0.3">
      <c r="A900" t="s">
        <v>34</v>
      </c>
      <c r="B900" t="s">
        <v>23</v>
      </c>
      <c r="C900" s="5">
        <v>4.7699999999999996</v>
      </c>
      <c r="D900" s="7">
        <v>20</v>
      </c>
      <c r="E900" s="6">
        <v>9.81</v>
      </c>
      <c r="F900">
        <v>86</v>
      </c>
      <c r="G900" s="3">
        <v>45009.5625</v>
      </c>
      <c r="H900" s="3">
        <v>45009.576388888891</v>
      </c>
      <c r="I900" s="3">
        <v>45009.57708333333</v>
      </c>
      <c r="J900" s="3">
        <v>45009.59097222222</v>
      </c>
      <c r="K900" t="s">
        <v>19</v>
      </c>
      <c r="L900" t="s">
        <v>20</v>
      </c>
      <c r="M900" t="str">
        <f>VLOOKUP(Table1[[#This Row],[Job_Status]],$V$2:$W$4,2,FALSE)</f>
        <v>Good</v>
      </c>
      <c r="N900" s="7">
        <f>VLOOKUP(Table1[[#This Row],[Job_Status]],$V$2:$X$4,3,FALSE)</f>
        <v>0</v>
      </c>
    </row>
    <row r="901" spans="1:14" x14ac:dyDescent="0.3">
      <c r="A901" t="s">
        <v>40</v>
      </c>
      <c r="B901" t="s">
        <v>27</v>
      </c>
      <c r="C901" s="5">
        <v>1.47</v>
      </c>
      <c r="D901" s="7">
        <v>75</v>
      </c>
      <c r="E901" s="6">
        <v>14.44</v>
      </c>
      <c r="F901">
        <v>80</v>
      </c>
      <c r="G901" s="3">
        <v>45009.569444444445</v>
      </c>
      <c r="H901" s="3">
        <v>45009.621527777781</v>
      </c>
      <c r="I901" s="3">
        <v>45009.572222222225</v>
      </c>
      <c r="J901" s="3">
        <v>45009.624305555553</v>
      </c>
      <c r="K901" t="s">
        <v>16</v>
      </c>
      <c r="L901" t="s">
        <v>17</v>
      </c>
      <c r="M901" t="str">
        <f>VLOOKUP(Table1[[#This Row],[Job_Status]],$V$2:$W$4,2,FALSE)</f>
        <v>Good</v>
      </c>
      <c r="N901" s="7">
        <f>VLOOKUP(Table1[[#This Row],[Job_Status]],$V$2:$X$4,3,FALSE)</f>
        <v>0</v>
      </c>
    </row>
    <row r="902" spans="1:14" x14ac:dyDescent="0.3">
      <c r="A902" t="s">
        <v>40</v>
      </c>
      <c r="B902" t="s">
        <v>27</v>
      </c>
      <c r="C902" s="5">
        <v>2.77</v>
      </c>
      <c r="D902" s="7">
        <v>59</v>
      </c>
      <c r="E902" s="6">
        <v>6.61</v>
      </c>
      <c r="F902">
        <v>93</v>
      </c>
      <c r="G902" s="3">
        <v>45009.576388888891</v>
      </c>
      <c r="H902" s="3">
        <v>45009.617361111108</v>
      </c>
      <c r="I902" s="3">
        <v>45009.577777777777</v>
      </c>
      <c r="J902" s="3">
        <v>45009.618750000001</v>
      </c>
      <c r="K902" t="s">
        <v>16</v>
      </c>
      <c r="L902" t="s">
        <v>28</v>
      </c>
      <c r="M902" t="str">
        <f>VLOOKUP(Table1[[#This Row],[Job_Status]],$V$2:$W$4,2,FALSE)</f>
        <v>Good</v>
      </c>
      <c r="N902" s="7">
        <f>VLOOKUP(Table1[[#This Row],[Job_Status]],$V$2:$X$4,3,FALSE)</f>
        <v>0</v>
      </c>
    </row>
    <row r="903" spans="1:14" x14ac:dyDescent="0.3">
      <c r="A903" t="s">
        <v>34</v>
      </c>
      <c r="B903" t="s">
        <v>36</v>
      </c>
      <c r="C903" s="5">
        <v>1.4</v>
      </c>
      <c r="D903" s="7">
        <v>94</v>
      </c>
      <c r="E903" s="6">
        <v>12.06</v>
      </c>
      <c r="F903">
        <v>89</v>
      </c>
      <c r="G903" s="3">
        <v>45009.583333333336</v>
      </c>
      <c r="H903" s="3">
        <v>45009.648611111108</v>
      </c>
      <c r="I903" s="3">
        <v>45009.594444444447</v>
      </c>
      <c r="J903" s="3">
        <v>45009.659722222219</v>
      </c>
      <c r="K903" t="s">
        <v>19</v>
      </c>
      <c r="L903" t="s">
        <v>20</v>
      </c>
      <c r="M903" t="str">
        <f>VLOOKUP(Table1[[#This Row],[Job_Status]],$V$2:$W$4,2,FALSE)</f>
        <v>Good</v>
      </c>
      <c r="N903" s="7">
        <f>VLOOKUP(Table1[[#This Row],[Job_Status]],$V$2:$X$4,3,FALSE)</f>
        <v>0</v>
      </c>
    </row>
    <row r="904" spans="1:14" x14ac:dyDescent="0.3">
      <c r="A904" t="s">
        <v>40</v>
      </c>
      <c r="B904" t="s">
        <v>27</v>
      </c>
      <c r="C904" s="5">
        <v>2.44</v>
      </c>
      <c r="D904" s="7">
        <v>103</v>
      </c>
      <c r="E904" s="6">
        <v>13.56</v>
      </c>
      <c r="F904">
        <v>95</v>
      </c>
      <c r="G904" s="3">
        <v>45009.590277777781</v>
      </c>
      <c r="H904" s="3">
        <v>45009.661805555559</v>
      </c>
      <c r="I904" s="3">
        <v>45009.592361111114</v>
      </c>
      <c r="J904" s="3">
        <v>45009.663888888892</v>
      </c>
      <c r="K904" t="s">
        <v>16</v>
      </c>
      <c r="L904" t="s">
        <v>17</v>
      </c>
      <c r="M904" t="str">
        <f>VLOOKUP(Table1[[#This Row],[Job_Status]],$V$2:$W$4,2,FALSE)</f>
        <v>Good</v>
      </c>
      <c r="N904" s="7">
        <f>VLOOKUP(Table1[[#This Row],[Job_Status]],$V$2:$X$4,3,FALSE)</f>
        <v>0</v>
      </c>
    </row>
    <row r="905" spans="1:14" x14ac:dyDescent="0.3">
      <c r="A905" t="s">
        <v>40</v>
      </c>
      <c r="B905" t="s">
        <v>15</v>
      </c>
      <c r="C905" s="5">
        <v>4.04</v>
      </c>
      <c r="D905" s="7">
        <v>95</v>
      </c>
      <c r="E905" s="6">
        <v>14.48</v>
      </c>
      <c r="F905">
        <v>97</v>
      </c>
      <c r="G905" s="3">
        <v>45009.597222222219</v>
      </c>
      <c r="H905" s="3">
        <v>45009.663194444445</v>
      </c>
      <c r="I905" s="3">
        <v>45009.595138888886</v>
      </c>
      <c r="J905" s="3">
        <v>45009.661111111112</v>
      </c>
      <c r="K905" t="s">
        <v>16</v>
      </c>
      <c r="L905" t="s">
        <v>20</v>
      </c>
      <c r="M905" t="str">
        <f>VLOOKUP(Table1[[#This Row],[Job_Status]],$V$2:$W$4,2,FALSE)</f>
        <v>Good</v>
      </c>
      <c r="N905" s="7">
        <f>VLOOKUP(Table1[[#This Row],[Job_Status]],$V$2:$X$4,3,FALSE)</f>
        <v>0</v>
      </c>
    </row>
    <row r="906" spans="1:14" x14ac:dyDescent="0.3">
      <c r="A906" t="s">
        <v>34</v>
      </c>
      <c r="B906" t="s">
        <v>36</v>
      </c>
      <c r="C906" s="5">
        <v>1.1200000000000001</v>
      </c>
      <c r="D906" s="7">
        <v>65</v>
      </c>
      <c r="E906" s="6">
        <v>12.46</v>
      </c>
      <c r="F906">
        <v>85</v>
      </c>
      <c r="G906" s="3">
        <v>45009.604166666664</v>
      </c>
      <c r="H906" s="3">
        <v>45009.649305555555</v>
      </c>
      <c r="K906" t="s">
        <v>24</v>
      </c>
      <c r="L906" t="s">
        <v>20</v>
      </c>
      <c r="M906" t="str">
        <f>VLOOKUP(Table1[[#This Row],[Job_Status]],$V$2:$W$4,2,FALSE)</f>
        <v>Defect</v>
      </c>
      <c r="N906" s="7">
        <f>VLOOKUP(Table1[[#This Row],[Job_Status]],$V$2:$X$4,3,FALSE)</f>
        <v>100</v>
      </c>
    </row>
    <row r="907" spans="1:14" x14ac:dyDescent="0.3">
      <c r="A907" t="s">
        <v>40</v>
      </c>
      <c r="B907" t="s">
        <v>27</v>
      </c>
      <c r="C907" s="5">
        <v>2.79</v>
      </c>
      <c r="D907" s="7">
        <v>48</v>
      </c>
      <c r="E907" s="6">
        <v>7.14</v>
      </c>
      <c r="F907">
        <v>91</v>
      </c>
      <c r="G907" s="3">
        <v>45009.611111111109</v>
      </c>
      <c r="H907" s="3">
        <v>45009.644444444442</v>
      </c>
      <c r="I907" s="3">
        <v>45009.612500000003</v>
      </c>
      <c r="J907" s="3">
        <v>45009.645833333336</v>
      </c>
      <c r="K907" t="s">
        <v>16</v>
      </c>
      <c r="L907" t="s">
        <v>28</v>
      </c>
      <c r="M907" t="str">
        <f>VLOOKUP(Table1[[#This Row],[Job_Status]],$V$2:$W$4,2,FALSE)</f>
        <v>Good</v>
      </c>
      <c r="N907" s="7">
        <f>VLOOKUP(Table1[[#This Row],[Job_Status]],$V$2:$X$4,3,FALSE)</f>
        <v>0</v>
      </c>
    </row>
    <row r="908" spans="1:14" x14ac:dyDescent="0.3">
      <c r="A908" t="s">
        <v>14</v>
      </c>
      <c r="B908" t="s">
        <v>23</v>
      </c>
      <c r="C908" s="5">
        <v>4.2699999999999996</v>
      </c>
      <c r="D908" s="7">
        <v>60</v>
      </c>
      <c r="E908" s="6">
        <v>3.92</v>
      </c>
      <c r="F908">
        <v>94</v>
      </c>
      <c r="G908" s="3">
        <v>45009.618055555555</v>
      </c>
      <c r="H908" s="3">
        <v>45009.659722222219</v>
      </c>
      <c r="I908" s="3">
        <v>45009.631249999999</v>
      </c>
      <c r="J908" s="3">
        <v>45009.67291666667</v>
      </c>
      <c r="K908" t="s">
        <v>19</v>
      </c>
      <c r="L908" t="s">
        <v>20</v>
      </c>
      <c r="M908" t="str">
        <f>VLOOKUP(Table1[[#This Row],[Job_Status]],$V$2:$W$4,2,FALSE)</f>
        <v>Good</v>
      </c>
      <c r="N908" s="7">
        <f>VLOOKUP(Table1[[#This Row],[Job_Status]],$V$2:$X$4,3,FALSE)</f>
        <v>0</v>
      </c>
    </row>
    <row r="909" spans="1:14" x14ac:dyDescent="0.3">
      <c r="A909" t="s">
        <v>30</v>
      </c>
      <c r="B909" t="s">
        <v>36</v>
      </c>
      <c r="C909" s="5">
        <v>1.98</v>
      </c>
      <c r="D909" s="7">
        <v>90</v>
      </c>
      <c r="E909" s="6">
        <v>14.41</v>
      </c>
      <c r="F909">
        <v>98</v>
      </c>
      <c r="G909" s="3">
        <v>45009.625</v>
      </c>
      <c r="H909" s="3">
        <v>45009.6875</v>
      </c>
      <c r="I909" s="3">
        <v>45009.633333333331</v>
      </c>
      <c r="J909" s="3">
        <v>45009.695833333331</v>
      </c>
      <c r="K909" t="s">
        <v>19</v>
      </c>
      <c r="L909" t="s">
        <v>20</v>
      </c>
      <c r="M909" t="str">
        <f>VLOOKUP(Table1[[#This Row],[Job_Status]],$V$2:$W$4,2,FALSE)</f>
        <v>Good</v>
      </c>
      <c r="N909" s="7">
        <f>VLOOKUP(Table1[[#This Row],[Job_Status]],$V$2:$X$4,3,FALSE)</f>
        <v>0</v>
      </c>
    </row>
    <row r="910" spans="1:14" x14ac:dyDescent="0.3">
      <c r="A910" t="s">
        <v>30</v>
      </c>
      <c r="B910" t="s">
        <v>32</v>
      </c>
      <c r="C910" s="5">
        <v>3.41</v>
      </c>
      <c r="D910" s="7">
        <v>106</v>
      </c>
      <c r="E910" s="6">
        <v>14.25</v>
      </c>
      <c r="F910">
        <v>85</v>
      </c>
      <c r="G910" s="3">
        <v>45009.631944444445</v>
      </c>
      <c r="H910" s="3">
        <v>45009.705555555556</v>
      </c>
      <c r="I910" s="3">
        <v>45009.631944444445</v>
      </c>
      <c r="J910" s="3">
        <v>45009.705555555556</v>
      </c>
      <c r="K910" t="s">
        <v>16</v>
      </c>
      <c r="L910" t="s">
        <v>17</v>
      </c>
      <c r="M910" t="str">
        <f>VLOOKUP(Table1[[#This Row],[Job_Status]],$V$2:$W$4,2,FALSE)</f>
        <v>Good</v>
      </c>
      <c r="N910" s="7">
        <f>VLOOKUP(Table1[[#This Row],[Job_Status]],$V$2:$X$4,3,FALSE)</f>
        <v>0</v>
      </c>
    </row>
    <row r="911" spans="1:14" x14ac:dyDescent="0.3">
      <c r="A911" t="s">
        <v>22</v>
      </c>
      <c r="B911" t="s">
        <v>23</v>
      </c>
      <c r="C911" s="5">
        <v>4.29</v>
      </c>
      <c r="D911" s="7">
        <v>116</v>
      </c>
      <c r="E911" s="6">
        <v>13.6</v>
      </c>
      <c r="F911">
        <v>87</v>
      </c>
      <c r="G911" s="3">
        <v>45009.638888888891</v>
      </c>
      <c r="H911" s="3">
        <v>45009.719444444447</v>
      </c>
      <c r="I911" s="3">
        <v>45009.64166666667</v>
      </c>
      <c r="J911" s="3">
        <v>45009.722222222219</v>
      </c>
      <c r="K911" t="s">
        <v>16</v>
      </c>
      <c r="L911" t="s">
        <v>17</v>
      </c>
      <c r="M911" t="str">
        <f>VLOOKUP(Table1[[#This Row],[Job_Status]],$V$2:$W$4,2,FALSE)</f>
        <v>Good</v>
      </c>
      <c r="N911" s="7">
        <f>VLOOKUP(Table1[[#This Row],[Job_Status]],$V$2:$X$4,3,FALSE)</f>
        <v>0</v>
      </c>
    </row>
    <row r="912" spans="1:14" x14ac:dyDescent="0.3">
      <c r="A912" t="s">
        <v>30</v>
      </c>
      <c r="B912" t="s">
        <v>23</v>
      </c>
      <c r="C912" s="5">
        <v>4.83</v>
      </c>
      <c r="D912" s="7">
        <v>38</v>
      </c>
      <c r="E912" s="6">
        <v>12.13</v>
      </c>
      <c r="F912">
        <v>85</v>
      </c>
      <c r="G912" s="3">
        <v>45009.645833333336</v>
      </c>
      <c r="H912" s="3">
        <v>45009.672222222223</v>
      </c>
      <c r="I912" s="3">
        <v>45009.644444444442</v>
      </c>
      <c r="J912" s="3">
        <v>45009.67083333333</v>
      </c>
      <c r="K912" t="s">
        <v>16</v>
      </c>
      <c r="L912" t="s">
        <v>20</v>
      </c>
      <c r="M912" t="str">
        <f>VLOOKUP(Table1[[#This Row],[Job_Status]],$V$2:$W$4,2,FALSE)</f>
        <v>Good</v>
      </c>
      <c r="N912" s="7">
        <f>VLOOKUP(Table1[[#This Row],[Job_Status]],$V$2:$X$4,3,FALSE)</f>
        <v>0</v>
      </c>
    </row>
    <row r="913" spans="1:14" x14ac:dyDescent="0.3">
      <c r="A913" t="s">
        <v>40</v>
      </c>
      <c r="B913" t="s">
        <v>15</v>
      </c>
      <c r="C913" s="5">
        <v>2.5499999999999998</v>
      </c>
      <c r="D913" s="7">
        <v>112</v>
      </c>
      <c r="E913" s="6">
        <v>4.12</v>
      </c>
      <c r="F913">
        <v>87</v>
      </c>
      <c r="G913" s="3">
        <v>45009.652777777781</v>
      </c>
      <c r="H913" s="3">
        <v>45009.730555555558</v>
      </c>
      <c r="I913" s="3">
        <v>45009.652083333334</v>
      </c>
      <c r="J913" s="3">
        <v>45009.729861111111</v>
      </c>
      <c r="K913" t="s">
        <v>16</v>
      </c>
      <c r="L913" t="s">
        <v>20</v>
      </c>
      <c r="M913" t="str">
        <f>VLOOKUP(Table1[[#This Row],[Job_Status]],$V$2:$W$4,2,FALSE)</f>
        <v>Good</v>
      </c>
      <c r="N913" s="7">
        <f>VLOOKUP(Table1[[#This Row],[Job_Status]],$V$2:$X$4,3,FALSE)</f>
        <v>0</v>
      </c>
    </row>
    <row r="914" spans="1:14" x14ac:dyDescent="0.3">
      <c r="A914" t="s">
        <v>22</v>
      </c>
      <c r="B914" t="s">
        <v>32</v>
      </c>
      <c r="C914" s="5">
        <v>3.6</v>
      </c>
      <c r="D914" s="7">
        <v>72</v>
      </c>
      <c r="E914" s="6">
        <v>13.88</v>
      </c>
      <c r="F914">
        <v>91</v>
      </c>
      <c r="G914" s="3">
        <v>45009.659722222219</v>
      </c>
      <c r="H914" s="3">
        <v>45009.709722222222</v>
      </c>
      <c r="K914" t="s">
        <v>24</v>
      </c>
      <c r="L914" t="s">
        <v>20</v>
      </c>
      <c r="M914" t="str">
        <f>VLOOKUP(Table1[[#This Row],[Job_Status]],$V$2:$W$4,2,FALSE)</f>
        <v>Defect</v>
      </c>
      <c r="N914" s="7">
        <f>VLOOKUP(Table1[[#This Row],[Job_Status]],$V$2:$X$4,3,FALSE)</f>
        <v>100</v>
      </c>
    </row>
    <row r="915" spans="1:14" x14ac:dyDescent="0.3">
      <c r="A915" t="s">
        <v>34</v>
      </c>
      <c r="B915" t="s">
        <v>23</v>
      </c>
      <c r="C915" s="5">
        <v>2.37</v>
      </c>
      <c r="D915" s="7">
        <v>31</v>
      </c>
      <c r="E915" s="6">
        <v>12.76</v>
      </c>
      <c r="F915">
        <v>91</v>
      </c>
      <c r="G915" s="3">
        <v>45009.666666666664</v>
      </c>
      <c r="H915" s="3">
        <v>45009.688194444447</v>
      </c>
      <c r="I915" s="3">
        <v>45009.663888888892</v>
      </c>
      <c r="J915" s="3">
        <v>45009.685416666667</v>
      </c>
      <c r="K915" t="s">
        <v>16</v>
      </c>
      <c r="L915" t="s">
        <v>20</v>
      </c>
      <c r="M915" t="str">
        <f>VLOOKUP(Table1[[#This Row],[Job_Status]],$V$2:$W$4,2,FALSE)</f>
        <v>Good</v>
      </c>
      <c r="N915" s="7">
        <f>VLOOKUP(Table1[[#This Row],[Job_Status]],$V$2:$X$4,3,FALSE)</f>
        <v>0</v>
      </c>
    </row>
    <row r="916" spans="1:14" x14ac:dyDescent="0.3">
      <c r="A916" t="s">
        <v>40</v>
      </c>
      <c r="B916" t="s">
        <v>27</v>
      </c>
      <c r="C916" s="5">
        <v>1.17</v>
      </c>
      <c r="D916" s="7">
        <v>72</v>
      </c>
      <c r="E916" s="6">
        <v>9.64</v>
      </c>
      <c r="F916">
        <v>92</v>
      </c>
      <c r="G916" s="3">
        <v>45009.673611111109</v>
      </c>
      <c r="H916" s="3">
        <v>45009.723611111112</v>
      </c>
      <c r="I916" s="3">
        <v>45009.672222222223</v>
      </c>
      <c r="J916" s="3">
        <v>45009.722222222219</v>
      </c>
      <c r="K916" t="s">
        <v>16</v>
      </c>
      <c r="L916" t="s">
        <v>20</v>
      </c>
      <c r="M916" t="str">
        <f>VLOOKUP(Table1[[#This Row],[Job_Status]],$V$2:$W$4,2,FALSE)</f>
        <v>Good</v>
      </c>
      <c r="N916" s="7">
        <f>VLOOKUP(Table1[[#This Row],[Job_Status]],$V$2:$X$4,3,FALSE)</f>
        <v>0</v>
      </c>
    </row>
    <row r="917" spans="1:14" x14ac:dyDescent="0.3">
      <c r="A917" t="s">
        <v>30</v>
      </c>
      <c r="B917" t="s">
        <v>23</v>
      </c>
      <c r="C917" s="5">
        <v>4.4000000000000004</v>
      </c>
      <c r="D917" s="7">
        <v>83</v>
      </c>
      <c r="E917" s="6">
        <v>12.24</v>
      </c>
      <c r="F917">
        <v>98</v>
      </c>
      <c r="G917" s="3">
        <v>45009.680555555555</v>
      </c>
      <c r="H917" s="3">
        <v>45009.738194444442</v>
      </c>
      <c r="I917" s="3">
        <v>45009.697916666664</v>
      </c>
      <c r="J917" s="3">
        <v>45009.755555555559</v>
      </c>
      <c r="K917" t="s">
        <v>19</v>
      </c>
      <c r="L917" t="s">
        <v>20</v>
      </c>
      <c r="M917" t="str">
        <f>VLOOKUP(Table1[[#This Row],[Job_Status]],$V$2:$W$4,2,FALSE)</f>
        <v>Good</v>
      </c>
      <c r="N917" s="7">
        <f>VLOOKUP(Table1[[#This Row],[Job_Status]],$V$2:$X$4,3,FALSE)</f>
        <v>0</v>
      </c>
    </row>
    <row r="918" spans="1:14" x14ac:dyDescent="0.3">
      <c r="A918" t="s">
        <v>14</v>
      </c>
      <c r="B918" t="s">
        <v>36</v>
      </c>
      <c r="C918" s="5">
        <v>4.75</v>
      </c>
      <c r="D918" s="7">
        <v>31</v>
      </c>
      <c r="E918" s="6">
        <v>8.94</v>
      </c>
      <c r="F918">
        <v>98</v>
      </c>
      <c r="G918" s="3">
        <v>45009.6875</v>
      </c>
      <c r="H918" s="3">
        <v>45009.709027777775</v>
      </c>
      <c r="I918" s="3">
        <v>45009.688888888886</v>
      </c>
      <c r="J918" s="3">
        <v>45009.710416666669</v>
      </c>
      <c r="K918" t="s">
        <v>16</v>
      </c>
      <c r="L918" t="s">
        <v>17</v>
      </c>
      <c r="M918" t="str">
        <f>VLOOKUP(Table1[[#This Row],[Job_Status]],$V$2:$W$4,2,FALSE)</f>
        <v>Good</v>
      </c>
      <c r="N918" s="7">
        <f>VLOOKUP(Table1[[#This Row],[Job_Status]],$V$2:$X$4,3,FALSE)</f>
        <v>0</v>
      </c>
    </row>
    <row r="919" spans="1:14" x14ac:dyDescent="0.3">
      <c r="A919" t="s">
        <v>22</v>
      </c>
      <c r="B919" t="s">
        <v>15</v>
      </c>
      <c r="C919" s="5">
        <v>2.11</v>
      </c>
      <c r="D919" s="7">
        <v>40</v>
      </c>
      <c r="E919" s="6">
        <v>6.24</v>
      </c>
      <c r="F919">
        <v>92</v>
      </c>
      <c r="G919" s="3">
        <v>45009.694444444445</v>
      </c>
      <c r="H919" s="3">
        <v>45009.722222222219</v>
      </c>
      <c r="I919" s="3">
        <v>45009.690972222219</v>
      </c>
      <c r="J919" s="3">
        <v>45009.71875</v>
      </c>
      <c r="K919" t="s">
        <v>16</v>
      </c>
      <c r="L919" t="s">
        <v>20</v>
      </c>
      <c r="M919" t="str">
        <f>VLOOKUP(Table1[[#This Row],[Job_Status]],$V$2:$W$4,2,FALSE)</f>
        <v>Good</v>
      </c>
      <c r="N919" s="7">
        <f>VLOOKUP(Table1[[#This Row],[Job_Status]],$V$2:$X$4,3,FALSE)</f>
        <v>0</v>
      </c>
    </row>
    <row r="920" spans="1:14" x14ac:dyDescent="0.3">
      <c r="A920" t="s">
        <v>22</v>
      </c>
      <c r="B920" t="s">
        <v>15</v>
      </c>
      <c r="C920" s="5">
        <v>2</v>
      </c>
      <c r="D920" s="7">
        <v>116</v>
      </c>
      <c r="E920" s="6">
        <v>12.06</v>
      </c>
      <c r="F920">
        <v>84</v>
      </c>
      <c r="G920" s="3">
        <v>45009.701388888891</v>
      </c>
      <c r="H920" s="3">
        <v>45009.781944444447</v>
      </c>
      <c r="K920" t="s">
        <v>24</v>
      </c>
      <c r="L920" t="s">
        <v>20</v>
      </c>
      <c r="M920" t="str">
        <f>VLOOKUP(Table1[[#This Row],[Job_Status]],$V$2:$W$4,2,FALSE)</f>
        <v>Defect</v>
      </c>
      <c r="N920" s="7">
        <f>VLOOKUP(Table1[[#This Row],[Job_Status]],$V$2:$X$4,3,FALSE)</f>
        <v>100</v>
      </c>
    </row>
    <row r="921" spans="1:14" x14ac:dyDescent="0.3">
      <c r="A921" t="s">
        <v>34</v>
      </c>
      <c r="B921" t="s">
        <v>15</v>
      </c>
      <c r="C921" s="5">
        <v>1.71</v>
      </c>
      <c r="D921" s="7">
        <v>48</v>
      </c>
      <c r="E921" s="6">
        <v>11.56</v>
      </c>
      <c r="F921">
        <v>83</v>
      </c>
      <c r="G921" s="3">
        <v>45009.708333333336</v>
      </c>
      <c r="H921" s="3">
        <v>45009.741666666669</v>
      </c>
      <c r="I921" s="3">
        <v>45009.711805555555</v>
      </c>
      <c r="J921" s="3">
        <v>45009.745138888888</v>
      </c>
      <c r="K921" t="s">
        <v>16</v>
      </c>
      <c r="L921" t="s">
        <v>17</v>
      </c>
      <c r="M921" t="str">
        <f>VLOOKUP(Table1[[#This Row],[Job_Status]],$V$2:$W$4,2,FALSE)</f>
        <v>Good</v>
      </c>
      <c r="N921" s="7">
        <f>VLOOKUP(Table1[[#This Row],[Job_Status]],$V$2:$X$4,3,FALSE)</f>
        <v>0</v>
      </c>
    </row>
    <row r="922" spans="1:14" x14ac:dyDescent="0.3">
      <c r="A922" t="s">
        <v>22</v>
      </c>
      <c r="B922" t="s">
        <v>23</v>
      </c>
      <c r="C922" s="5">
        <v>4.26</v>
      </c>
      <c r="D922" s="7">
        <v>43</v>
      </c>
      <c r="E922" s="6">
        <v>9.59</v>
      </c>
      <c r="F922">
        <v>81</v>
      </c>
      <c r="G922" s="3">
        <v>45009.715277777781</v>
      </c>
      <c r="H922" s="3">
        <v>45009.745138888888</v>
      </c>
      <c r="I922" s="3">
        <v>45009.718055555553</v>
      </c>
      <c r="J922" s="3">
        <v>45009.747916666667</v>
      </c>
      <c r="K922" t="s">
        <v>16</v>
      </c>
      <c r="L922" t="s">
        <v>17</v>
      </c>
      <c r="M922" t="str">
        <f>VLOOKUP(Table1[[#This Row],[Job_Status]],$V$2:$W$4,2,FALSE)</f>
        <v>Good</v>
      </c>
      <c r="N922" s="7">
        <f>VLOOKUP(Table1[[#This Row],[Job_Status]],$V$2:$X$4,3,FALSE)</f>
        <v>0</v>
      </c>
    </row>
    <row r="923" spans="1:14" x14ac:dyDescent="0.3">
      <c r="A923" t="s">
        <v>14</v>
      </c>
      <c r="B923" t="s">
        <v>15</v>
      </c>
      <c r="C923" s="5">
        <v>2.73</v>
      </c>
      <c r="D923" s="7">
        <v>90</v>
      </c>
      <c r="E923" s="6">
        <v>7.46</v>
      </c>
      <c r="F923">
        <v>85</v>
      </c>
      <c r="G923" s="3">
        <v>45009.722222222219</v>
      </c>
      <c r="H923" s="3">
        <v>45009.784722222219</v>
      </c>
      <c r="I923" s="3">
        <v>45009.722222222219</v>
      </c>
      <c r="J923" s="3">
        <v>45009.784722222219</v>
      </c>
      <c r="K923" t="s">
        <v>16</v>
      </c>
      <c r="L923" t="s">
        <v>28</v>
      </c>
      <c r="M923" t="str">
        <f>VLOOKUP(Table1[[#This Row],[Job_Status]],$V$2:$W$4,2,FALSE)</f>
        <v>Good</v>
      </c>
      <c r="N923" s="7">
        <f>VLOOKUP(Table1[[#This Row],[Job_Status]],$V$2:$X$4,3,FALSE)</f>
        <v>0</v>
      </c>
    </row>
    <row r="924" spans="1:14" x14ac:dyDescent="0.3">
      <c r="A924" t="s">
        <v>30</v>
      </c>
      <c r="B924" t="s">
        <v>36</v>
      </c>
      <c r="C924" s="5">
        <v>1.62</v>
      </c>
      <c r="D924" s="7">
        <v>46</v>
      </c>
      <c r="E924" s="6">
        <v>4.17</v>
      </c>
      <c r="F924">
        <v>97</v>
      </c>
      <c r="G924" s="3">
        <v>45009.729166666664</v>
      </c>
      <c r="H924" s="3">
        <v>45009.761111111111</v>
      </c>
      <c r="I924" s="3">
        <v>45009.729166666664</v>
      </c>
      <c r="J924" s="3">
        <v>45009.761111111111</v>
      </c>
      <c r="K924" t="s">
        <v>16</v>
      </c>
      <c r="L924" t="s">
        <v>28</v>
      </c>
      <c r="M924" t="str">
        <f>VLOOKUP(Table1[[#This Row],[Job_Status]],$V$2:$W$4,2,FALSE)</f>
        <v>Good</v>
      </c>
      <c r="N924" s="7">
        <f>VLOOKUP(Table1[[#This Row],[Job_Status]],$V$2:$X$4,3,FALSE)</f>
        <v>0</v>
      </c>
    </row>
    <row r="925" spans="1:14" x14ac:dyDescent="0.3">
      <c r="A925" t="s">
        <v>30</v>
      </c>
      <c r="B925" t="s">
        <v>32</v>
      </c>
      <c r="C925" s="5">
        <v>4.8499999999999996</v>
      </c>
      <c r="D925" s="7">
        <v>91</v>
      </c>
      <c r="E925" s="6">
        <v>14.43</v>
      </c>
      <c r="F925">
        <v>80</v>
      </c>
      <c r="G925" s="3">
        <v>45009.736111111109</v>
      </c>
      <c r="H925" s="3">
        <v>45009.799305555556</v>
      </c>
      <c r="I925" s="3">
        <v>45009.732638888891</v>
      </c>
      <c r="J925" s="3">
        <v>45009.79583333333</v>
      </c>
      <c r="K925" t="s">
        <v>16</v>
      </c>
      <c r="L925" t="s">
        <v>20</v>
      </c>
      <c r="M925" t="str">
        <f>VLOOKUP(Table1[[#This Row],[Job_Status]],$V$2:$W$4,2,FALSE)</f>
        <v>Good</v>
      </c>
      <c r="N925" s="7">
        <f>VLOOKUP(Table1[[#This Row],[Job_Status]],$V$2:$X$4,3,FALSE)</f>
        <v>0</v>
      </c>
    </row>
    <row r="926" spans="1:14" x14ac:dyDescent="0.3">
      <c r="A926" t="s">
        <v>22</v>
      </c>
      <c r="B926" t="s">
        <v>36</v>
      </c>
      <c r="C926" s="5">
        <v>4.24</v>
      </c>
      <c r="D926" s="7">
        <v>84</v>
      </c>
      <c r="E926" s="6">
        <v>3.01</v>
      </c>
      <c r="F926">
        <v>99</v>
      </c>
      <c r="G926" s="3">
        <v>45009.743055555555</v>
      </c>
      <c r="H926" s="3">
        <v>45009.801388888889</v>
      </c>
      <c r="I926" s="3">
        <v>45009.751388888886</v>
      </c>
      <c r="J926" s="3">
        <v>45009.80972222222</v>
      </c>
      <c r="K926" t="s">
        <v>19</v>
      </c>
      <c r="L926" t="s">
        <v>20</v>
      </c>
      <c r="M926" t="str">
        <f>VLOOKUP(Table1[[#This Row],[Job_Status]],$V$2:$W$4,2,FALSE)</f>
        <v>Good</v>
      </c>
      <c r="N926" s="7">
        <f>VLOOKUP(Table1[[#This Row],[Job_Status]],$V$2:$X$4,3,FALSE)</f>
        <v>0</v>
      </c>
    </row>
    <row r="927" spans="1:14" x14ac:dyDescent="0.3">
      <c r="A927" t="s">
        <v>30</v>
      </c>
      <c r="B927" t="s">
        <v>23</v>
      </c>
      <c r="C927" s="5">
        <v>3.4</v>
      </c>
      <c r="D927" s="7">
        <v>30</v>
      </c>
      <c r="E927" s="6">
        <v>5.58</v>
      </c>
      <c r="F927">
        <v>86</v>
      </c>
      <c r="G927" s="3">
        <v>45009.75</v>
      </c>
      <c r="H927" s="3">
        <v>45009.770833333336</v>
      </c>
      <c r="I927" s="3">
        <v>45009.746527777781</v>
      </c>
      <c r="J927" s="3">
        <v>45009.767361111109</v>
      </c>
      <c r="K927" t="s">
        <v>16</v>
      </c>
      <c r="L927" t="s">
        <v>20</v>
      </c>
      <c r="M927" t="str">
        <f>VLOOKUP(Table1[[#This Row],[Job_Status]],$V$2:$W$4,2,FALSE)</f>
        <v>Good</v>
      </c>
      <c r="N927" s="7">
        <f>VLOOKUP(Table1[[#This Row],[Job_Status]],$V$2:$X$4,3,FALSE)</f>
        <v>0</v>
      </c>
    </row>
    <row r="928" spans="1:14" x14ac:dyDescent="0.3">
      <c r="A928" t="s">
        <v>34</v>
      </c>
      <c r="B928" t="s">
        <v>15</v>
      </c>
      <c r="C928" s="5">
        <v>3.91</v>
      </c>
      <c r="D928" s="7">
        <v>115</v>
      </c>
      <c r="E928" s="6">
        <v>4.62</v>
      </c>
      <c r="F928">
        <v>95</v>
      </c>
      <c r="G928" s="3">
        <v>45009.756944444445</v>
      </c>
      <c r="H928" s="3">
        <v>45009.836805555555</v>
      </c>
      <c r="I928" s="3">
        <v>45009.753472222219</v>
      </c>
      <c r="J928" s="3">
        <v>45009.833333333336</v>
      </c>
      <c r="K928" t="s">
        <v>16</v>
      </c>
      <c r="L928" t="s">
        <v>20</v>
      </c>
      <c r="M928" t="str">
        <f>VLOOKUP(Table1[[#This Row],[Job_Status]],$V$2:$W$4,2,FALSE)</f>
        <v>Good</v>
      </c>
      <c r="N928" s="7">
        <f>VLOOKUP(Table1[[#This Row],[Job_Status]],$V$2:$X$4,3,FALSE)</f>
        <v>0</v>
      </c>
    </row>
    <row r="929" spans="1:14" x14ac:dyDescent="0.3">
      <c r="A929" t="s">
        <v>14</v>
      </c>
      <c r="B929" t="s">
        <v>36</v>
      </c>
      <c r="C929" s="5">
        <v>1.4</v>
      </c>
      <c r="D929" s="7">
        <v>60</v>
      </c>
      <c r="E929" s="6">
        <v>6.27</v>
      </c>
      <c r="F929">
        <v>90</v>
      </c>
      <c r="G929" s="3">
        <v>45009.763888888891</v>
      </c>
      <c r="H929" s="3">
        <v>45009.805555555555</v>
      </c>
      <c r="I929" s="3">
        <v>45009.767361111109</v>
      </c>
      <c r="J929" s="3">
        <v>45009.809027777781</v>
      </c>
      <c r="K929" t="s">
        <v>16</v>
      </c>
      <c r="L929" t="s">
        <v>28</v>
      </c>
      <c r="M929" t="str">
        <f>VLOOKUP(Table1[[#This Row],[Job_Status]],$V$2:$W$4,2,FALSE)</f>
        <v>Good</v>
      </c>
      <c r="N929" s="7">
        <f>VLOOKUP(Table1[[#This Row],[Job_Status]],$V$2:$X$4,3,FALSE)</f>
        <v>0</v>
      </c>
    </row>
    <row r="930" spans="1:14" x14ac:dyDescent="0.3">
      <c r="A930" t="s">
        <v>30</v>
      </c>
      <c r="B930" t="s">
        <v>23</v>
      </c>
      <c r="C930" s="5">
        <v>4.46</v>
      </c>
      <c r="D930" s="7">
        <v>100</v>
      </c>
      <c r="E930" s="6">
        <v>7.59</v>
      </c>
      <c r="F930">
        <v>88</v>
      </c>
      <c r="G930" s="3">
        <v>45009.770833333336</v>
      </c>
      <c r="H930" s="3">
        <v>45009.840277777781</v>
      </c>
      <c r="I930" s="3">
        <v>45009.768750000003</v>
      </c>
      <c r="J930" s="3">
        <v>45009.838194444441</v>
      </c>
      <c r="K930" t="s">
        <v>16</v>
      </c>
      <c r="L930" t="s">
        <v>20</v>
      </c>
      <c r="M930" t="str">
        <f>VLOOKUP(Table1[[#This Row],[Job_Status]],$V$2:$W$4,2,FALSE)</f>
        <v>Good</v>
      </c>
      <c r="N930" s="7">
        <f>VLOOKUP(Table1[[#This Row],[Job_Status]],$V$2:$X$4,3,FALSE)</f>
        <v>0</v>
      </c>
    </row>
    <row r="931" spans="1:14" x14ac:dyDescent="0.3">
      <c r="A931" t="s">
        <v>14</v>
      </c>
      <c r="B931" t="s">
        <v>27</v>
      </c>
      <c r="C931" s="5">
        <v>1.19</v>
      </c>
      <c r="D931" s="7">
        <v>95</v>
      </c>
      <c r="E931" s="6">
        <v>7.99</v>
      </c>
      <c r="F931">
        <v>81</v>
      </c>
      <c r="G931" s="3">
        <v>45009.777777777781</v>
      </c>
      <c r="H931" s="3">
        <v>45009.84375</v>
      </c>
      <c r="K931" t="s">
        <v>24</v>
      </c>
      <c r="L931" t="s">
        <v>20</v>
      </c>
      <c r="M931" t="str">
        <f>VLOOKUP(Table1[[#This Row],[Job_Status]],$V$2:$W$4,2,FALSE)</f>
        <v>Defect</v>
      </c>
      <c r="N931" s="7">
        <f>VLOOKUP(Table1[[#This Row],[Job_Status]],$V$2:$X$4,3,FALSE)</f>
        <v>100</v>
      </c>
    </row>
    <row r="932" spans="1:14" x14ac:dyDescent="0.3">
      <c r="A932" t="s">
        <v>40</v>
      </c>
      <c r="B932" t="s">
        <v>27</v>
      </c>
      <c r="C932" s="5">
        <v>3.12</v>
      </c>
      <c r="D932" s="7">
        <v>101</v>
      </c>
      <c r="E932" s="6">
        <v>9.44</v>
      </c>
      <c r="F932">
        <v>85</v>
      </c>
      <c r="G932" s="3">
        <v>45009.784722222219</v>
      </c>
      <c r="H932" s="3">
        <v>45009.854861111111</v>
      </c>
      <c r="I932" s="3">
        <v>45009.78402777778</v>
      </c>
      <c r="J932" s="3">
        <v>45009.854166666664</v>
      </c>
      <c r="K932" t="s">
        <v>16</v>
      </c>
      <c r="L932" t="s">
        <v>20</v>
      </c>
      <c r="M932" t="str">
        <f>VLOOKUP(Table1[[#This Row],[Job_Status]],$V$2:$W$4,2,FALSE)</f>
        <v>Good</v>
      </c>
      <c r="N932" s="7">
        <f>VLOOKUP(Table1[[#This Row],[Job_Status]],$V$2:$X$4,3,FALSE)</f>
        <v>0</v>
      </c>
    </row>
    <row r="933" spans="1:14" x14ac:dyDescent="0.3">
      <c r="A933" t="s">
        <v>40</v>
      </c>
      <c r="B933" t="s">
        <v>27</v>
      </c>
      <c r="C933" s="5">
        <v>1.1200000000000001</v>
      </c>
      <c r="D933" s="7">
        <v>55</v>
      </c>
      <c r="E933" s="6">
        <v>5.05</v>
      </c>
      <c r="F933">
        <v>91</v>
      </c>
      <c r="G933" s="3">
        <v>45009.791666666664</v>
      </c>
      <c r="H933" s="3">
        <v>45009.829861111109</v>
      </c>
      <c r="I933" s="3">
        <v>45009.788888888892</v>
      </c>
      <c r="J933" s="3">
        <v>45009.82708333333</v>
      </c>
      <c r="K933" t="s">
        <v>16</v>
      </c>
      <c r="L933" t="s">
        <v>20</v>
      </c>
      <c r="M933" t="str">
        <f>VLOOKUP(Table1[[#This Row],[Job_Status]],$V$2:$W$4,2,FALSE)</f>
        <v>Good</v>
      </c>
      <c r="N933" s="7">
        <f>VLOOKUP(Table1[[#This Row],[Job_Status]],$V$2:$X$4,3,FALSE)</f>
        <v>0</v>
      </c>
    </row>
    <row r="934" spans="1:14" x14ac:dyDescent="0.3">
      <c r="A934" t="s">
        <v>14</v>
      </c>
      <c r="B934" t="s">
        <v>27</v>
      </c>
      <c r="C934" s="5">
        <v>3.5</v>
      </c>
      <c r="D934" s="7">
        <v>41</v>
      </c>
      <c r="E934" s="6">
        <v>8.5299999999999994</v>
      </c>
      <c r="F934">
        <v>94</v>
      </c>
      <c r="G934" s="3">
        <v>45009.798611111109</v>
      </c>
      <c r="H934" s="3">
        <v>45009.82708333333</v>
      </c>
      <c r="K934" t="s">
        <v>24</v>
      </c>
      <c r="L934" t="s">
        <v>20</v>
      </c>
      <c r="M934" t="str">
        <f>VLOOKUP(Table1[[#This Row],[Job_Status]],$V$2:$W$4,2,FALSE)</f>
        <v>Defect</v>
      </c>
      <c r="N934" s="7">
        <f>VLOOKUP(Table1[[#This Row],[Job_Status]],$V$2:$X$4,3,FALSE)</f>
        <v>100</v>
      </c>
    </row>
    <row r="935" spans="1:14" x14ac:dyDescent="0.3">
      <c r="A935" t="s">
        <v>30</v>
      </c>
      <c r="B935" t="s">
        <v>27</v>
      </c>
      <c r="C935" s="5">
        <v>4.01</v>
      </c>
      <c r="D935" s="7">
        <v>49</v>
      </c>
      <c r="E935" s="6">
        <v>4.2300000000000004</v>
      </c>
      <c r="F935">
        <v>96</v>
      </c>
      <c r="G935" s="3">
        <v>45009.805555555555</v>
      </c>
      <c r="H935" s="3">
        <v>45009.839583333334</v>
      </c>
      <c r="I935" s="3">
        <v>45009.804861111108</v>
      </c>
      <c r="J935" s="3">
        <v>45009.838888888888</v>
      </c>
      <c r="K935" t="s">
        <v>16</v>
      </c>
      <c r="L935" t="s">
        <v>20</v>
      </c>
      <c r="M935" t="str">
        <f>VLOOKUP(Table1[[#This Row],[Job_Status]],$V$2:$W$4,2,FALSE)</f>
        <v>Good</v>
      </c>
      <c r="N935" s="7">
        <f>VLOOKUP(Table1[[#This Row],[Job_Status]],$V$2:$X$4,3,FALSE)</f>
        <v>0</v>
      </c>
    </row>
    <row r="936" spans="1:14" x14ac:dyDescent="0.3">
      <c r="A936" t="s">
        <v>34</v>
      </c>
      <c r="B936" t="s">
        <v>36</v>
      </c>
      <c r="C936" s="5">
        <v>1.1200000000000001</v>
      </c>
      <c r="D936" s="7">
        <v>88</v>
      </c>
      <c r="E936" s="6">
        <v>11.95</v>
      </c>
      <c r="F936">
        <v>98</v>
      </c>
      <c r="G936" s="3">
        <v>45009.8125</v>
      </c>
      <c r="H936" s="3">
        <v>45009.873611111114</v>
      </c>
      <c r="I936" s="3">
        <v>45009.811111111114</v>
      </c>
      <c r="J936" s="3">
        <v>45009.87222222222</v>
      </c>
      <c r="K936" t="s">
        <v>16</v>
      </c>
      <c r="L936" t="s">
        <v>20</v>
      </c>
      <c r="M936" t="str">
        <f>VLOOKUP(Table1[[#This Row],[Job_Status]],$V$2:$W$4,2,FALSE)</f>
        <v>Good</v>
      </c>
      <c r="N936" s="7">
        <f>VLOOKUP(Table1[[#This Row],[Job_Status]],$V$2:$X$4,3,FALSE)</f>
        <v>0</v>
      </c>
    </row>
    <row r="937" spans="1:14" x14ac:dyDescent="0.3">
      <c r="A937" t="s">
        <v>30</v>
      </c>
      <c r="B937" t="s">
        <v>36</v>
      </c>
      <c r="C937" s="5">
        <v>3.28</v>
      </c>
      <c r="D937" s="7">
        <v>81</v>
      </c>
      <c r="E937" s="6">
        <v>5.14</v>
      </c>
      <c r="F937">
        <v>99</v>
      </c>
      <c r="G937" s="3">
        <v>45009.819444444445</v>
      </c>
      <c r="H937" s="3">
        <v>45009.875694444447</v>
      </c>
      <c r="I937" s="3">
        <v>45009.822222222225</v>
      </c>
      <c r="J937" s="3">
        <v>45009.878472222219</v>
      </c>
      <c r="K937" t="s">
        <v>16</v>
      </c>
      <c r="L937" t="s">
        <v>28</v>
      </c>
      <c r="M937" t="str">
        <f>VLOOKUP(Table1[[#This Row],[Job_Status]],$V$2:$W$4,2,FALSE)</f>
        <v>Good</v>
      </c>
      <c r="N937" s="7">
        <f>VLOOKUP(Table1[[#This Row],[Job_Status]],$V$2:$X$4,3,FALSE)</f>
        <v>0</v>
      </c>
    </row>
    <row r="938" spans="1:14" x14ac:dyDescent="0.3">
      <c r="A938" t="s">
        <v>34</v>
      </c>
      <c r="B938" t="s">
        <v>36</v>
      </c>
      <c r="C938" s="5">
        <v>2.67</v>
      </c>
      <c r="D938" s="7">
        <v>22</v>
      </c>
      <c r="E938" s="6">
        <v>13.15</v>
      </c>
      <c r="F938">
        <v>83</v>
      </c>
      <c r="G938" s="3">
        <v>45009.826388888891</v>
      </c>
      <c r="H938" s="3">
        <v>45009.841666666667</v>
      </c>
      <c r="I938" s="3">
        <v>45009.82916666667</v>
      </c>
      <c r="J938" s="3">
        <v>45009.844444444447</v>
      </c>
      <c r="K938" t="s">
        <v>16</v>
      </c>
      <c r="L938" t="s">
        <v>17</v>
      </c>
      <c r="M938" t="str">
        <f>VLOOKUP(Table1[[#This Row],[Job_Status]],$V$2:$W$4,2,FALSE)</f>
        <v>Good</v>
      </c>
      <c r="N938" s="7">
        <f>VLOOKUP(Table1[[#This Row],[Job_Status]],$V$2:$X$4,3,FALSE)</f>
        <v>0</v>
      </c>
    </row>
    <row r="939" spans="1:14" x14ac:dyDescent="0.3">
      <c r="A939" t="s">
        <v>30</v>
      </c>
      <c r="B939" t="s">
        <v>36</v>
      </c>
      <c r="C939" s="5">
        <v>4.28</v>
      </c>
      <c r="D939" s="7">
        <v>103</v>
      </c>
      <c r="E939" s="6">
        <v>14.71</v>
      </c>
      <c r="F939">
        <v>88</v>
      </c>
      <c r="G939" s="3">
        <v>45009.833333333336</v>
      </c>
      <c r="H939" s="3">
        <v>45009.904861111114</v>
      </c>
      <c r="I939" s="3">
        <v>45009.831944444442</v>
      </c>
      <c r="J939" s="3">
        <v>45009.90347222222</v>
      </c>
      <c r="K939" t="s">
        <v>16</v>
      </c>
      <c r="L939" t="s">
        <v>20</v>
      </c>
      <c r="M939" t="str">
        <f>VLOOKUP(Table1[[#This Row],[Job_Status]],$V$2:$W$4,2,FALSE)</f>
        <v>Good</v>
      </c>
      <c r="N939" s="7">
        <f>VLOOKUP(Table1[[#This Row],[Job_Status]],$V$2:$X$4,3,FALSE)</f>
        <v>0</v>
      </c>
    </row>
    <row r="940" spans="1:14" x14ac:dyDescent="0.3">
      <c r="A940" t="s">
        <v>30</v>
      </c>
      <c r="B940" t="s">
        <v>36</v>
      </c>
      <c r="C940" s="5">
        <v>1.97</v>
      </c>
      <c r="D940" s="7">
        <v>47</v>
      </c>
      <c r="E940" s="6">
        <v>9.7200000000000006</v>
      </c>
      <c r="F940">
        <v>99</v>
      </c>
      <c r="G940" s="3">
        <v>45009.840277777781</v>
      </c>
      <c r="H940" s="3">
        <v>45009.872916666667</v>
      </c>
      <c r="I940" s="3">
        <v>45009.842361111114</v>
      </c>
      <c r="J940" s="3">
        <v>45009.875</v>
      </c>
      <c r="K940" t="s">
        <v>16</v>
      </c>
      <c r="L940" t="s">
        <v>17</v>
      </c>
      <c r="M940" t="str">
        <f>VLOOKUP(Table1[[#This Row],[Job_Status]],$V$2:$W$4,2,FALSE)</f>
        <v>Good</v>
      </c>
      <c r="N940" s="7">
        <f>VLOOKUP(Table1[[#This Row],[Job_Status]],$V$2:$X$4,3,FALSE)</f>
        <v>0</v>
      </c>
    </row>
    <row r="941" spans="1:14" x14ac:dyDescent="0.3">
      <c r="A941" t="s">
        <v>30</v>
      </c>
      <c r="B941" t="s">
        <v>36</v>
      </c>
      <c r="C941" s="5">
        <v>3.28</v>
      </c>
      <c r="D941" s="7">
        <v>50</v>
      </c>
      <c r="E941" s="6">
        <v>7.97</v>
      </c>
      <c r="F941">
        <v>96</v>
      </c>
      <c r="G941" s="3">
        <v>45009.847222222219</v>
      </c>
      <c r="H941" s="3">
        <v>45009.881944444445</v>
      </c>
      <c r="I941" s="3">
        <v>45009.864583333336</v>
      </c>
      <c r="J941" s="3">
        <v>45009.899305555555</v>
      </c>
      <c r="K941" t="s">
        <v>19</v>
      </c>
      <c r="L941" t="s">
        <v>20</v>
      </c>
      <c r="M941" t="str">
        <f>VLOOKUP(Table1[[#This Row],[Job_Status]],$V$2:$W$4,2,FALSE)</f>
        <v>Good</v>
      </c>
      <c r="N941" s="7">
        <f>VLOOKUP(Table1[[#This Row],[Job_Status]],$V$2:$X$4,3,FALSE)</f>
        <v>0</v>
      </c>
    </row>
    <row r="942" spans="1:14" x14ac:dyDescent="0.3">
      <c r="A942" t="s">
        <v>14</v>
      </c>
      <c r="B942" t="s">
        <v>32</v>
      </c>
      <c r="C942" s="5">
        <v>2.31</v>
      </c>
      <c r="D942" s="7">
        <v>87</v>
      </c>
      <c r="E942" s="6">
        <v>5.9</v>
      </c>
      <c r="F942">
        <v>95</v>
      </c>
      <c r="G942" s="3">
        <v>45009.854166666664</v>
      </c>
      <c r="H942" s="3">
        <v>45009.914583333331</v>
      </c>
      <c r="I942" s="3">
        <v>45009.855555555558</v>
      </c>
      <c r="J942" s="3">
        <v>45009.915972222225</v>
      </c>
      <c r="K942" t="s">
        <v>16</v>
      </c>
      <c r="L942" t="s">
        <v>28</v>
      </c>
      <c r="M942" t="str">
        <f>VLOOKUP(Table1[[#This Row],[Job_Status]],$V$2:$W$4,2,FALSE)</f>
        <v>Good</v>
      </c>
      <c r="N942" s="7">
        <f>VLOOKUP(Table1[[#This Row],[Job_Status]],$V$2:$X$4,3,FALSE)</f>
        <v>0</v>
      </c>
    </row>
    <row r="943" spans="1:14" x14ac:dyDescent="0.3">
      <c r="A943" t="s">
        <v>30</v>
      </c>
      <c r="B943" t="s">
        <v>27</v>
      </c>
      <c r="C943" s="5">
        <v>2.88</v>
      </c>
      <c r="D943" s="7">
        <v>105</v>
      </c>
      <c r="E943" s="6">
        <v>14.3</v>
      </c>
      <c r="F943">
        <v>83</v>
      </c>
      <c r="G943" s="3">
        <v>45009.861111111109</v>
      </c>
      <c r="H943" s="3">
        <v>45009.934027777781</v>
      </c>
      <c r="I943" s="3">
        <v>45009.864583333336</v>
      </c>
      <c r="J943" s="3">
        <v>45009.9375</v>
      </c>
      <c r="K943" t="s">
        <v>16</v>
      </c>
      <c r="L943" t="s">
        <v>17</v>
      </c>
      <c r="M943" t="str">
        <f>VLOOKUP(Table1[[#This Row],[Job_Status]],$V$2:$W$4,2,FALSE)</f>
        <v>Good</v>
      </c>
      <c r="N943" s="7">
        <f>VLOOKUP(Table1[[#This Row],[Job_Status]],$V$2:$X$4,3,FALSE)</f>
        <v>0</v>
      </c>
    </row>
    <row r="944" spans="1:14" x14ac:dyDescent="0.3">
      <c r="A944" t="s">
        <v>22</v>
      </c>
      <c r="B944" t="s">
        <v>23</v>
      </c>
      <c r="C944" s="5">
        <v>4.7300000000000004</v>
      </c>
      <c r="D944" s="7">
        <v>20</v>
      </c>
      <c r="E944" s="6">
        <v>4.97</v>
      </c>
      <c r="F944">
        <v>90</v>
      </c>
      <c r="G944" s="3">
        <v>45009.868055555555</v>
      </c>
      <c r="H944" s="3">
        <v>45009.881944444445</v>
      </c>
      <c r="I944" s="3">
        <v>45009.868055555555</v>
      </c>
      <c r="J944" s="3">
        <v>45009.881944444445</v>
      </c>
      <c r="K944" t="s">
        <v>16</v>
      </c>
      <c r="L944" t="s">
        <v>28</v>
      </c>
      <c r="M944" t="str">
        <f>VLOOKUP(Table1[[#This Row],[Job_Status]],$V$2:$W$4,2,FALSE)</f>
        <v>Good</v>
      </c>
      <c r="N944" s="7">
        <f>VLOOKUP(Table1[[#This Row],[Job_Status]],$V$2:$X$4,3,FALSE)</f>
        <v>0</v>
      </c>
    </row>
    <row r="945" spans="1:14" x14ac:dyDescent="0.3">
      <c r="A945" t="s">
        <v>22</v>
      </c>
      <c r="B945" t="s">
        <v>15</v>
      </c>
      <c r="C945" s="5">
        <v>2.17</v>
      </c>
      <c r="D945" s="7">
        <v>71</v>
      </c>
      <c r="E945" s="6">
        <v>12.6</v>
      </c>
      <c r="F945">
        <v>97</v>
      </c>
      <c r="G945" s="3">
        <v>45009.875</v>
      </c>
      <c r="H945" s="3">
        <v>45009.924305555556</v>
      </c>
      <c r="K945" t="s">
        <v>24</v>
      </c>
      <c r="L945" t="s">
        <v>20</v>
      </c>
      <c r="M945" t="str">
        <f>VLOOKUP(Table1[[#This Row],[Job_Status]],$V$2:$W$4,2,FALSE)</f>
        <v>Defect</v>
      </c>
      <c r="N945" s="7">
        <f>VLOOKUP(Table1[[#This Row],[Job_Status]],$V$2:$X$4,3,FALSE)</f>
        <v>100</v>
      </c>
    </row>
    <row r="946" spans="1:14" x14ac:dyDescent="0.3">
      <c r="A946" t="s">
        <v>30</v>
      </c>
      <c r="B946" t="s">
        <v>23</v>
      </c>
      <c r="C946" s="5">
        <v>4.3099999999999996</v>
      </c>
      <c r="D946" s="7">
        <v>43</v>
      </c>
      <c r="E946" s="6">
        <v>6.5</v>
      </c>
      <c r="F946">
        <v>90</v>
      </c>
      <c r="G946" s="3">
        <v>45009.881944444445</v>
      </c>
      <c r="H946" s="3">
        <v>45009.911805555559</v>
      </c>
      <c r="I946" s="3">
        <v>45009.902777777781</v>
      </c>
      <c r="J946" s="3">
        <v>45009.932638888888</v>
      </c>
      <c r="K946" t="s">
        <v>19</v>
      </c>
      <c r="L946" t="s">
        <v>20</v>
      </c>
      <c r="M946" t="str">
        <f>VLOOKUP(Table1[[#This Row],[Job_Status]],$V$2:$W$4,2,FALSE)</f>
        <v>Good</v>
      </c>
      <c r="N946" s="7">
        <f>VLOOKUP(Table1[[#This Row],[Job_Status]],$V$2:$X$4,3,FALSE)</f>
        <v>0</v>
      </c>
    </row>
    <row r="947" spans="1:14" x14ac:dyDescent="0.3">
      <c r="A947" t="s">
        <v>22</v>
      </c>
      <c r="B947" t="s">
        <v>27</v>
      </c>
      <c r="C947" s="5">
        <v>3.1</v>
      </c>
      <c r="D947" s="7">
        <v>33</v>
      </c>
      <c r="E947" s="6">
        <v>2.46</v>
      </c>
      <c r="F947">
        <v>97</v>
      </c>
      <c r="G947" s="3">
        <v>45009.888888888891</v>
      </c>
      <c r="H947" s="3">
        <v>45009.911805555559</v>
      </c>
      <c r="I947" s="3">
        <v>45009.90625</v>
      </c>
      <c r="J947" s="3">
        <v>45009.929166666669</v>
      </c>
      <c r="K947" t="s">
        <v>19</v>
      </c>
      <c r="L947" t="s">
        <v>20</v>
      </c>
      <c r="M947" t="str">
        <f>VLOOKUP(Table1[[#This Row],[Job_Status]],$V$2:$W$4,2,FALSE)</f>
        <v>Good</v>
      </c>
      <c r="N947" s="7">
        <f>VLOOKUP(Table1[[#This Row],[Job_Status]],$V$2:$X$4,3,FALSE)</f>
        <v>0</v>
      </c>
    </row>
    <row r="948" spans="1:14" x14ac:dyDescent="0.3">
      <c r="A948" t="s">
        <v>14</v>
      </c>
      <c r="B948" t="s">
        <v>27</v>
      </c>
      <c r="C948" s="5">
        <v>1.94</v>
      </c>
      <c r="D948" s="7">
        <v>45</v>
      </c>
      <c r="E948" s="6">
        <v>2.4300000000000002</v>
      </c>
      <c r="F948">
        <v>90</v>
      </c>
      <c r="G948" s="3">
        <v>45009.895833333336</v>
      </c>
      <c r="H948" s="3">
        <v>45009.927083333336</v>
      </c>
      <c r="I948" s="3">
        <v>45009.893750000003</v>
      </c>
      <c r="J948" s="3">
        <v>45009.925000000003</v>
      </c>
      <c r="K948" t="s">
        <v>16</v>
      </c>
      <c r="L948" t="s">
        <v>20</v>
      </c>
      <c r="M948" t="str">
        <f>VLOOKUP(Table1[[#This Row],[Job_Status]],$V$2:$W$4,2,FALSE)</f>
        <v>Good</v>
      </c>
      <c r="N948" s="7">
        <f>VLOOKUP(Table1[[#This Row],[Job_Status]],$V$2:$X$4,3,FALSE)</f>
        <v>0</v>
      </c>
    </row>
    <row r="949" spans="1:14" x14ac:dyDescent="0.3">
      <c r="A949" t="s">
        <v>30</v>
      </c>
      <c r="B949" t="s">
        <v>36</v>
      </c>
      <c r="C949" s="5">
        <v>2.99</v>
      </c>
      <c r="D949" s="7">
        <v>88</v>
      </c>
      <c r="E949" s="6">
        <v>8.42</v>
      </c>
      <c r="F949">
        <v>82</v>
      </c>
      <c r="G949" s="3">
        <v>45009.902777777781</v>
      </c>
      <c r="H949" s="3">
        <v>45009.963888888888</v>
      </c>
      <c r="I949" s="3">
        <v>45009.902083333334</v>
      </c>
      <c r="J949" s="3">
        <v>45009.963194444441</v>
      </c>
      <c r="K949" t="s">
        <v>16</v>
      </c>
      <c r="L949" t="s">
        <v>20</v>
      </c>
      <c r="M949" t="str">
        <f>VLOOKUP(Table1[[#This Row],[Job_Status]],$V$2:$W$4,2,FALSE)</f>
        <v>Good</v>
      </c>
      <c r="N949" s="7">
        <f>VLOOKUP(Table1[[#This Row],[Job_Status]],$V$2:$X$4,3,FALSE)</f>
        <v>0</v>
      </c>
    </row>
    <row r="950" spans="1:14" x14ac:dyDescent="0.3">
      <c r="A950" t="s">
        <v>30</v>
      </c>
      <c r="B950" t="s">
        <v>32</v>
      </c>
      <c r="C950" s="5">
        <v>1.29</v>
      </c>
      <c r="D950" s="7">
        <v>100</v>
      </c>
      <c r="E950" s="6">
        <v>7.13</v>
      </c>
      <c r="F950">
        <v>82</v>
      </c>
      <c r="G950" s="3">
        <v>45009.909722222219</v>
      </c>
      <c r="H950" s="3">
        <v>45009.979166666664</v>
      </c>
      <c r="I950" s="3">
        <v>45009.911111111112</v>
      </c>
      <c r="J950" s="3">
        <v>45009.980555555558</v>
      </c>
      <c r="K950" t="s">
        <v>16</v>
      </c>
      <c r="L950" t="s">
        <v>28</v>
      </c>
      <c r="M950" t="str">
        <f>VLOOKUP(Table1[[#This Row],[Job_Status]],$V$2:$W$4,2,FALSE)</f>
        <v>Good</v>
      </c>
      <c r="N950" s="7">
        <f>VLOOKUP(Table1[[#This Row],[Job_Status]],$V$2:$X$4,3,FALSE)</f>
        <v>0</v>
      </c>
    </row>
    <row r="951" spans="1:14" x14ac:dyDescent="0.3">
      <c r="A951" t="s">
        <v>40</v>
      </c>
      <c r="B951" t="s">
        <v>36</v>
      </c>
      <c r="C951" s="5">
        <v>3.01</v>
      </c>
      <c r="D951" s="7">
        <v>57</v>
      </c>
      <c r="E951" s="6">
        <v>14.36</v>
      </c>
      <c r="F951">
        <v>93</v>
      </c>
      <c r="G951" s="3">
        <v>45009.916666666664</v>
      </c>
      <c r="H951" s="3">
        <v>45009.956250000003</v>
      </c>
      <c r="I951" s="3">
        <v>45009.918055555558</v>
      </c>
      <c r="J951" s="3">
        <v>45009.957638888889</v>
      </c>
      <c r="K951" t="s">
        <v>16</v>
      </c>
      <c r="L951" t="s">
        <v>17</v>
      </c>
      <c r="M951" t="str">
        <f>VLOOKUP(Table1[[#This Row],[Job_Status]],$V$2:$W$4,2,FALSE)</f>
        <v>Good</v>
      </c>
      <c r="N951" s="7">
        <f>VLOOKUP(Table1[[#This Row],[Job_Status]],$V$2:$X$4,3,FALSE)</f>
        <v>0</v>
      </c>
    </row>
    <row r="952" spans="1:14" x14ac:dyDescent="0.3">
      <c r="A952" t="s">
        <v>22</v>
      </c>
      <c r="B952" t="s">
        <v>36</v>
      </c>
      <c r="C952" s="5">
        <v>4.7</v>
      </c>
      <c r="D952" s="7">
        <v>92</v>
      </c>
      <c r="E952" s="6">
        <v>4</v>
      </c>
      <c r="F952">
        <v>89</v>
      </c>
      <c r="G952" s="3">
        <v>45009.923611111109</v>
      </c>
      <c r="H952" s="3">
        <v>45009.987500000003</v>
      </c>
      <c r="I952" s="3">
        <v>45009.926388888889</v>
      </c>
      <c r="J952" s="3">
        <v>45009.990277777775</v>
      </c>
      <c r="K952" t="s">
        <v>16</v>
      </c>
      <c r="L952" t="s">
        <v>28</v>
      </c>
      <c r="M952" t="str">
        <f>VLOOKUP(Table1[[#This Row],[Job_Status]],$V$2:$W$4,2,FALSE)</f>
        <v>Good</v>
      </c>
      <c r="N952" s="7">
        <f>VLOOKUP(Table1[[#This Row],[Job_Status]],$V$2:$X$4,3,FALSE)</f>
        <v>0</v>
      </c>
    </row>
    <row r="953" spans="1:14" x14ac:dyDescent="0.3">
      <c r="A953" t="s">
        <v>34</v>
      </c>
      <c r="B953" t="s">
        <v>36</v>
      </c>
      <c r="C953" s="5">
        <v>2.42</v>
      </c>
      <c r="D953" s="7">
        <v>81</v>
      </c>
      <c r="E953" s="6">
        <v>4.5199999999999996</v>
      </c>
      <c r="F953">
        <v>80</v>
      </c>
      <c r="G953" s="3">
        <v>45009.930555555555</v>
      </c>
      <c r="H953" s="3">
        <v>45009.986805555556</v>
      </c>
      <c r="I953" s="3">
        <v>45009.933333333334</v>
      </c>
      <c r="J953" s="3">
        <v>45009.989583333336</v>
      </c>
      <c r="K953" t="s">
        <v>16</v>
      </c>
      <c r="L953" t="s">
        <v>28</v>
      </c>
      <c r="M953" t="str">
        <f>VLOOKUP(Table1[[#This Row],[Job_Status]],$V$2:$W$4,2,FALSE)</f>
        <v>Good</v>
      </c>
      <c r="N953" s="7">
        <f>VLOOKUP(Table1[[#This Row],[Job_Status]],$V$2:$X$4,3,FALSE)</f>
        <v>0</v>
      </c>
    </row>
    <row r="954" spans="1:14" x14ac:dyDescent="0.3">
      <c r="A954" t="s">
        <v>30</v>
      </c>
      <c r="B954" t="s">
        <v>27</v>
      </c>
      <c r="C954" s="5">
        <v>1.69</v>
      </c>
      <c r="D954" s="7">
        <v>24</v>
      </c>
      <c r="E954" s="6">
        <v>10.01</v>
      </c>
      <c r="F954">
        <v>83</v>
      </c>
      <c r="G954" s="3">
        <v>45009.9375</v>
      </c>
      <c r="H954" s="3">
        <v>45009.95416666667</v>
      </c>
      <c r="I954" s="3">
        <v>45009.939583333333</v>
      </c>
      <c r="J954" s="3">
        <v>45009.956250000003</v>
      </c>
      <c r="K954" t="s">
        <v>16</v>
      </c>
      <c r="L954" t="s">
        <v>17</v>
      </c>
      <c r="M954" t="str">
        <f>VLOOKUP(Table1[[#This Row],[Job_Status]],$V$2:$W$4,2,FALSE)</f>
        <v>Good</v>
      </c>
      <c r="N954" s="7">
        <f>VLOOKUP(Table1[[#This Row],[Job_Status]],$V$2:$X$4,3,FALSE)</f>
        <v>0</v>
      </c>
    </row>
    <row r="955" spans="1:14" x14ac:dyDescent="0.3">
      <c r="A955" t="s">
        <v>40</v>
      </c>
      <c r="B955" t="s">
        <v>27</v>
      </c>
      <c r="C955" s="5">
        <v>2.85</v>
      </c>
      <c r="D955" s="7">
        <v>103</v>
      </c>
      <c r="E955" s="6">
        <v>7.28</v>
      </c>
      <c r="F955">
        <v>97</v>
      </c>
      <c r="G955" s="3">
        <v>45009.944444444445</v>
      </c>
      <c r="H955" s="3">
        <v>45010.015972222223</v>
      </c>
      <c r="I955" s="3">
        <v>45009.945138888892</v>
      </c>
      <c r="J955" s="3">
        <v>45010.01666666667</v>
      </c>
      <c r="K955" t="s">
        <v>16</v>
      </c>
      <c r="L955" t="s">
        <v>28</v>
      </c>
      <c r="M955" t="str">
        <f>VLOOKUP(Table1[[#This Row],[Job_Status]],$V$2:$W$4,2,FALSE)</f>
        <v>Good</v>
      </c>
      <c r="N955" s="7">
        <f>VLOOKUP(Table1[[#This Row],[Job_Status]],$V$2:$X$4,3,FALSE)</f>
        <v>0</v>
      </c>
    </row>
    <row r="956" spans="1:14" x14ac:dyDescent="0.3">
      <c r="A956" t="s">
        <v>14</v>
      </c>
      <c r="B956" t="s">
        <v>15</v>
      </c>
      <c r="C956" s="5">
        <v>4.54</v>
      </c>
      <c r="D956" s="7">
        <v>39</v>
      </c>
      <c r="E956" s="6">
        <v>3.74</v>
      </c>
      <c r="F956">
        <v>91</v>
      </c>
      <c r="G956" s="3">
        <v>45009.951388888891</v>
      </c>
      <c r="H956" s="3">
        <v>45009.978472222225</v>
      </c>
      <c r="I956" s="3">
        <v>45009.947916666664</v>
      </c>
      <c r="J956" s="3">
        <v>45009.974999999999</v>
      </c>
      <c r="K956" t="s">
        <v>16</v>
      </c>
      <c r="L956" t="s">
        <v>20</v>
      </c>
      <c r="M956" t="str">
        <f>VLOOKUP(Table1[[#This Row],[Job_Status]],$V$2:$W$4,2,FALSE)</f>
        <v>Good</v>
      </c>
      <c r="N956" s="7">
        <f>VLOOKUP(Table1[[#This Row],[Job_Status]],$V$2:$X$4,3,FALSE)</f>
        <v>0</v>
      </c>
    </row>
    <row r="957" spans="1:14" x14ac:dyDescent="0.3">
      <c r="A957" t="s">
        <v>22</v>
      </c>
      <c r="B957" t="s">
        <v>36</v>
      </c>
      <c r="C957" s="5">
        <v>1.02</v>
      </c>
      <c r="D957" s="7">
        <v>55</v>
      </c>
      <c r="E957" s="6">
        <v>14.79</v>
      </c>
      <c r="F957">
        <v>94</v>
      </c>
      <c r="G957" s="3">
        <v>45009.958333333336</v>
      </c>
      <c r="H957" s="3">
        <v>45009.996527777781</v>
      </c>
      <c r="K957" t="s">
        <v>24</v>
      </c>
      <c r="L957" t="s">
        <v>20</v>
      </c>
      <c r="M957" t="str">
        <f>VLOOKUP(Table1[[#This Row],[Job_Status]],$V$2:$W$4,2,FALSE)</f>
        <v>Defect</v>
      </c>
      <c r="N957" s="7">
        <f>VLOOKUP(Table1[[#This Row],[Job_Status]],$V$2:$X$4,3,FALSE)</f>
        <v>100</v>
      </c>
    </row>
    <row r="958" spans="1:14" x14ac:dyDescent="0.3">
      <c r="A958" t="s">
        <v>14</v>
      </c>
      <c r="B958" t="s">
        <v>27</v>
      </c>
      <c r="C958" s="5">
        <v>2.71</v>
      </c>
      <c r="D958" s="7">
        <v>51</v>
      </c>
      <c r="E958" s="6">
        <v>7.12</v>
      </c>
      <c r="F958">
        <v>90</v>
      </c>
      <c r="G958" s="3">
        <v>45009.965277777781</v>
      </c>
      <c r="H958" s="3">
        <v>45010.000694444447</v>
      </c>
      <c r="I958" s="3">
        <v>45009.966666666667</v>
      </c>
      <c r="J958" s="3">
        <v>45010.002083333333</v>
      </c>
      <c r="K958" t="s">
        <v>16</v>
      </c>
      <c r="L958" t="s">
        <v>28</v>
      </c>
      <c r="M958" t="str">
        <f>VLOOKUP(Table1[[#This Row],[Job_Status]],$V$2:$W$4,2,FALSE)</f>
        <v>Good</v>
      </c>
      <c r="N958" s="7">
        <f>VLOOKUP(Table1[[#This Row],[Job_Status]],$V$2:$X$4,3,FALSE)</f>
        <v>0</v>
      </c>
    </row>
    <row r="959" spans="1:14" x14ac:dyDescent="0.3">
      <c r="A959" t="s">
        <v>30</v>
      </c>
      <c r="B959" t="s">
        <v>36</v>
      </c>
      <c r="C959" s="5">
        <v>3.98</v>
      </c>
      <c r="D959" s="7">
        <v>90</v>
      </c>
      <c r="E959" s="6">
        <v>8.91</v>
      </c>
      <c r="F959">
        <v>86</v>
      </c>
      <c r="G959" s="3">
        <v>45009.972222222219</v>
      </c>
      <c r="H959" s="3">
        <v>45010.034722222219</v>
      </c>
      <c r="I959" s="3">
        <v>45009.988194444442</v>
      </c>
      <c r="J959" s="3">
        <v>45010.050694444442</v>
      </c>
      <c r="K959" t="s">
        <v>19</v>
      </c>
      <c r="L959" t="s">
        <v>20</v>
      </c>
      <c r="M959" t="str">
        <f>VLOOKUP(Table1[[#This Row],[Job_Status]],$V$2:$W$4,2,FALSE)</f>
        <v>Good</v>
      </c>
      <c r="N959" s="7">
        <f>VLOOKUP(Table1[[#This Row],[Job_Status]],$V$2:$X$4,3,FALSE)</f>
        <v>0</v>
      </c>
    </row>
    <row r="960" spans="1:14" x14ac:dyDescent="0.3">
      <c r="A960" t="s">
        <v>34</v>
      </c>
      <c r="B960" t="s">
        <v>15</v>
      </c>
      <c r="C960" s="5">
        <v>3.02</v>
      </c>
      <c r="D960" s="7">
        <v>44</v>
      </c>
      <c r="E960" s="6">
        <v>2.83</v>
      </c>
      <c r="F960">
        <v>98</v>
      </c>
      <c r="G960" s="3">
        <v>45009.979166666664</v>
      </c>
      <c r="H960" s="3">
        <v>45010.009722222225</v>
      </c>
      <c r="I960" s="3">
        <v>45009.975694444445</v>
      </c>
      <c r="J960" s="3">
        <v>45010.006249999999</v>
      </c>
      <c r="K960" t="s">
        <v>16</v>
      </c>
      <c r="L960" t="s">
        <v>20</v>
      </c>
      <c r="M960" t="str">
        <f>VLOOKUP(Table1[[#This Row],[Job_Status]],$V$2:$W$4,2,FALSE)</f>
        <v>Good</v>
      </c>
      <c r="N960" s="7">
        <f>VLOOKUP(Table1[[#This Row],[Job_Status]],$V$2:$X$4,3,FALSE)</f>
        <v>0</v>
      </c>
    </row>
    <row r="961" spans="1:14" x14ac:dyDescent="0.3">
      <c r="A961" t="s">
        <v>22</v>
      </c>
      <c r="B961" t="s">
        <v>23</v>
      </c>
      <c r="C961" s="5">
        <v>4.28</v>
      </c>
      <c r="D961" s="7">
        <v>84</v>
      </c>
      <c r="E961" s="6">
        <v>14.44</v>
      </c>
      <c r="F961">
        <v>88</v>
      </c>
      <c r="G961" s="3">
        <v>45009.986111111109</v>
      </c>
      <c r="H961" s="3">
        <v>45010.044444444444</v>
      </c>
      <c r="I961" s="3">
        <v>45009.986805555556</v>
      </c>
      <c r="J961" s="3">
        <v>45010.045138888891</v>
      </c>
      <c r="K961" t="s">
        <v>16</v>
      </c>
      <c r="L961" t="s">
        <v>17</v>
      </c>
      <c r="M961" t="str">
        <f>VLOOKUP(Table1[[#This Row],[Job_Status]],$V$2:$W$4,2,FALSE)</f>
        <v>Good</v>
      </c>
      <c r="N961" s="7">
        <f>VLOOKUP(Table1[[#This Row],[Job_Status]],$V$2:$X$4,3,FALSE)</f>
        <v>0</v>
      </c>
    </row>
    <row r="962" spans="1:14" x14ac:dyDescent="0.3">
      <c r="A962" t="s">
        <v>22</v>
      </c>
      <c r="B962" t="s">
        <v>23</v>
      </c>
      <c r="C962" s="5">
        <v>2.17</v>
      </c>
      <c r="D962" s="7">
        <v>88</v>
      </c>
      <c r="E962" s="6">
        <v>3.03</v>
      </c>
      <c r="F962">
        <v>80</v>
      </c>
      <c r="G962" s="3">
        <v>45009.993055555555</v>
      </c>
      <c r="H962" s="3">
        <v>45010.054166666669</v>
      </c>
      <c r="I962" s="3">
        <v>45009.989583333336</v>
      </c>
      <c r="J962" s="3">
        <v>45010.050694444442</v>
      </c>
      <c r="K962" t="s">
        <v>16</v>
      </c>
      <c r="L962" t="s">
        <v>20</v>
      </c>
      <c r="M962" t="str">
        <f>VLOOKUP(Table1[[#This Row],[Job_Status]],$V$2:$W$4,2,FALSE)</f>
        <v>Good</v>
      </c>
      <c r="N962" s="7">
        <f>VLOOKUP(Table1[[#This Row],[Job_Status]],$V$2:$X$4,3,FALSE)</f>
        <v>0</v>
      </c>
    </row>
    <row r="963" spans="1:14" x14ac:dyDescent="0.3">
      <c r="A963" t="s">
        <v>22</v>
      </c>
      <c r="B963" t="s">
        <v>32</v>
      </c>
      <c r="C963" s="5">
        <v>4.1500000000000004</v>
      </c>
      <c r="D963" s="7">
        <v>93</v>
      </c>
      <c r="E963" s="6">
        <v>2.2400000000000002</v>
      </c>
      <c r="F963">
        <v>97</v>
      </c>
      <c r="G963" s="3">
        <v>45010</v>
      </c>
      <c r="H963" s="3">
        <v>45010.064583333333</v>
      </c>
      <c r="I963" s="3">
        <v>45010.00277777778</v>
      </c>
      <c r="J963" s="3">
        <v>45010.067361111112</v>
      </c>
      <c r="K963" t="s">
        <v>16</v>
      </c>
      <c r="L963" t="s">
        <v>28</v>
      </c>
      <c r="M963" t="str">
        <f>VLOOKUP(Table1[[#This Row],[Job_Status]],$V$2:$W$4,2,FALSE)</f>
        <v>Good</v>
      </c>
      <c r="N963" s="7">
        <f>VLOOKUP(Table1[[#This Row],[Job_Status]],$V$2:$X$4,3,FALSE)</f>
        <v>0</v>
      </c>
    </row>
    <row r="964" spans="1:14" x14ac:dyDescent="0.3">
      <c r="A964" t="s">
        <v>14</v>
      </c>
      <c r="B964" t="s">
        <v>15</v>
      </c>
      <c r="C964" s="5">
        <v>4.6399999999999997</v>
      </c>
      <c r="D964" s="7">
        <v>67</v>
      </c>
      <c r="E964" s="6">
        <v>10.74</v>
      </c>
      <c r="F964">
        <v>96</v>
      </c>
      <c r="G964" s="3">
        <v>45010.006944444445</v>
      </c>
      <c r="H964" s="3">
        <v>45010.053472222222</v>
      </c>
      <c r="I964" s="3">
        <v>45010.010416666664</v>
      </c>
      <c r="J964" s="3">
        <v>45010.056944444441</v>
      </c>
      <c r="K964" t="s">
        <v>16</v>
      </c>
      <c r="L964" t="s">
        <v>17</v>
      </c>
      <c r="M964" t="str">
        <f>VLOOKUP(Table1[[#This Row],[Job_Status]],$V$2:$W$4,2,FALSE)</f>
        <v>Good</v>
      </c>
      <c r="N964" s="7">
        <f>VLOOKUP(Table1[[#This Row],[Job_Status]],$V$2:$X$4,3,FALSE)</f>
        <v>0</v>
      </c>
    </row>
    <row r="965" spans="1:14" x14ac:dyDescent="0.3">
      <c r="A965" t="s">
        <v>22</v>
      </c>
      <c r="B965" t="s">
        <v>23</v>
      </c>
      <c r="C965" s="5">
        <v>3.83</v>
      </c>
      <c r="D965" s="7">
        <v>101</v>
      </c>
      <c r="E965" s="6">
        <v>11.33</v>
      </c>
      <c r="F965">
        <v>80</v>
      </c>
      <c r="G965" s="3">
        <v>45010.013888888891</v>
      </c>
      <c r="H965" s="3">
        <v>45010.084027777775</v>
      </c>
      <c r="I965" s="3">
        <v>45010.010416666664</v>
      </c>
      <c r="J965" s="3">
        <v>45010.080555555556</v>
      </c>
      <c r="K965" t="s">
        <v>16</v>
      </c>
      <c r="L965" t="s">
        <v>20</v>
      </c>
      <c r="M965" t="str">
        <f>VLOOKUP(Table1[[#This Row],[Job_Status]],$V$2:$W$4,2,FALSE)</f>
        <v>Good</v>
      </c>
      <c r="N965" s="7">
        <f>VLOOKUP(Table1[[#This Row],[Job_Status]],$V$2:$X$4,3,FALSE)</f>
        <v>0</v>
      </c>
    </row>
    <row r="966" spans="1:14" x14ac:dyDescent="0.3">
      <c r="A966" t="s">
        <v>40</v>
      </c>
      <c r="B966" t="s">
        <v>23</v>
      </c>
      <c r="C966" s="5">
        <v>4.8600000000000003</v>
      </c>
      <c r="D966" s="7">
        <v>66</v>
      </c>
      <c r="E966" s="6">
        <v>8.07</v>
      </c>
      <c r="F966">
        <v>93</v>
      </c>
      <c r="G966" s="3">
        <v>45010.020833333336</v>
      </c>
      <c r="H966" s="3">
        <v>45010.066666666666</v>
      </c>
      <c r="I966" s="3">
        <v>45010.022916666669</v>
      </c>
      <c r="J966" s="3">
        <v>45010.068749999999</v>
      </c>
      <c r="K966" t="s">
        <v>16</v>
      </c>
      <c r="L966" t="s">
        <v>17</v>
      </c>
      <c r="M966" t="str">
        <f>VLOOKUP(Table1[[#This Row],[Job_Status]],$V$2:$W$4,2,FALSE)</f>
        <v>Good</v>
      </c>
      <c r="N966" s="7">
        <f>VLOOKUP(Table1[[#This Row],[Job_Status]],$V$2:$X$4,3,FALSE)</f>
        <v>0</v>
      </c>
    </row>
    <row r="967" spans="1:14" x14ac:dyDescent="0.3">
      <c r="A967" t="s">
        <v>30</v>
      </c>
      <c r="B967" t="s">
        <v>36</v>
      </c>
      <c r="C967" s="5">
        <v>2.38</v>
      </c>
      <c r="D967" s="7">
        <v>43</v>
      </c>
      <c r="E967" s="6">
        <v>12.77</v>
      </c>
      <c r="F967">
        <v>97</v>
      </c>
      <c r="G967" s="3">
        <v>45010.027777777781</v>
      </c>
      <c r="H967" s="3">
        <v>45010.057638888888</v>
      </c>
      <c r="I967" s="3">
        <v>45010.029861111114</v>
      </c>
      <c r="J967" s="3">
        <v>45010.05972222222</v>
      </c>
      <c r="K967" t="s">
        <v>16</v>
      </c>
      <c r="L967" t="s">
        <v>17</v>
      </c>
      <c r="M967" t="str">
        <f>VLOOKUP(Table1[[#This Row],[Job_Status]],$V$2:$W$4,2,FALSE)</f>
        <v>Good</v>
      </c>
      <c r="N967" s="7">
        <f>VLOOKUP(Table1[[#This Row],[Job_Status]],$V$2:$X$4,3,FALSE)</f>
        <v>0</v>
      </c>
    </row>
    <row r="968" spans="1:14" x14ac:dyDescent="0.3">
      <c r="A968" t="s">
        <v>30</v>
      </c>
      <c r="B968" t="s">
        <v>27</v>
      </c>
      <c r="C968" s="5">
        <v>1.49</v>
      </c>
      <c r="D968" s="7">
        <v>114</v>
      </c>
      <c r="E968" s="6">
        <v>10.41</v>
      </c>
      <c r="F968">
        <v>84</v>
      </c>
      <c r="G968" s="3">
        <v>45010.034722222219</v>
      </c>
      <c r="H968" s="3">
        <v>45010.113888888889</v>
      </c>
      <c r="I968" s="3">
        <v>45010.03125</v>
      </c>
      <c r="J968" s="3">
        <v>45010.11041666667</v>
      </c>
      <c r="K968" t="s">
        <v>16</v>
      </c>
      <c r="L968" t="s">
        <v>20</v>
      </c>
      <c r="M968" t="str">
        <f>VLOOKUP(Table1[[#This Row],[Job_Status]],$V$2:$W$4,2,FALSE)</f>
        <v>Good</v>
      </c>
      <c r="N968" s="7">
        <f>VLOOKUP(Table1[[#This Row],[Job_Status]],$V$2:$X$4,3,FALSE)</f>
        <v>0</v>
      </c>
    </row>
    <row r="969" spans="1:14" x14ac:dyDescent="0.3">
      <c r="A969" t="s">
        <v>34</v>
      </c>
      <c r="B969" t="s">
        <v>23</v>
      </c>
      <c r="C969" s="5">
        <v>4.38</v>
      </c>
      <c r="D969" s="7">
        <v>64</v>
      </c>
      <c r="E969" s="6">
        <v>8.7899999999999991</v>
      </c>
      <c r="F969">
        <v>98</v>
      </c>
      <c r="G969" s="3">
        <v>45010.041666666664</v>
      </c>
      <c r="H969" s="3">
        <v>45010.086111111108</v>
      </c>
      <c r="I969" s="3">
        <v>45010.039583333331</v>
      </c>
      <c r="J969" s="3">
        <v>45010.084027777775</v>
      </c>
      <c r="K969" t="s">
        <v>16</v>
      </c>
      <c r="L969" t="s">
        <v>20</v>
      </c>
      <c r="M969" t="str">
        <f>VLOOKUP(Table1[[#This Row],[Job_Status]],$V$2:$W$4,2,FALSE)</f>
        <v>Good</v>
      </c>
      <c r="N969" s="7">
        <f>VLOOKUP(Table1[[#This Row],[Job_Status]],$V$2:$X$4,3,FALSE)</f>
        <v>0</v>
      </c>
    </row>
    <row r="970" spans="1:14" x14ac:dyDescent="0.3">
      <c r="A970" t="s">
        <v>40</v>
      </c>
      <c r="B970" t="s">
        <v>32</v>
      </c>
      <c r="C970" s="5">
        <v>3.55</v>
      </c>
      <c r="D970" s="7">
        <v>32</v>
      </c>
      <c r="E970" s="6">
        <v>13.1</v>
      </c>
      <c r="F970">
        <v>89</v>
      </c>
      <c r="G970" s="3">
        <v>45010.048611111109</v>
      </c>
      <c r="H970" s="3">
        <v>45010.070833333331</v>
      </c>
      <c r="I970" s="3">
        <v>45010.052083333336</v>
      </c>
      <c r="J970" s="3">
        <v>45010.074305555558</v>
      </c>
      <c r="K970" t="s">
        <v>16</v>
      </c>
      <c r="L970" t="s">
        <v>17</v>
      </c>
      <c r="M970" t="str">
        <f>VLOOKUP(Table1[[#This Row],[Job_Status]],$V$2:$W$4,2,FALSE)</f>
        <v>Good</v>
      </c>
      <c r="N970" s="7">
        <f>VLOOKUP(Table1[[#This Row],[Job_Status]],$V$2:$X$4,3,FALSE)</f>
        <v>0</v>
      </c>
    </row>
    <row r="971" spans="1:14" x14ac:dyDescent="0.3">
      <c r="A971" t="s">
        <v>30</v>
      </c>
      <c r="B971" t="s">
        <v>36</v>
      </c>
      <c r="C971" s="5">
        <v>4.5</v>
      </c>
      <c r="D971" s="7">
        <v>32</v>
      </c>
      <c r="E971" s="6">
        <v>8.68</v>
      </c>
      <c r="F971">
        <v>91</v>
      </c>
      <c r="G971" s="3">
        <v>45010.055555555555</v>
      </c>
      <c r="H971" s="3">
        <v>45010.077777777777</v>
      </c>
      <c r="I971" s="3">
        <v>45010.074305555558</v>
      </c>
      <c r="J971" s="3">
        <v>45010.09652777778</v>
      </c>
      <c r="K971" t="s">
        <v>19</v>
      </c>
      <c r="L971" t="s">
        <v>20</v>
      </c>
      <c r="M971" t="str">
        <f>VLOOKUP(Table1[[#This Row],[Job_Status]],$V$2:$W$4,2,FALSE)</f>
        <v>Good</v>
      </c>
      <c r="N971" s="7">
        <f>VLOOKUP(Table1[[#This Row],[Job_Status]],$V$2:$X$4,3,FALSE)</f>
        <v>0</v>
      </c>
    </row>
    <row r="972" spans="1:14" x14ac:dyDescent="0.3">
      <c r="A972" t="s">
        <v>22</v>
      </c>
      <c r="B972" t="s">
        <v>15</v>
      </c>
      <c r="C972" s="5">
        <v>2.78</v>
      </c>
      <c r="D972" s="7">
        <v>75</v>
      </c>
      <c r="E972" s="6">
        <v>4.4000000000000004</v>
      </c>
      <c r="F972">
        <v>82</v>
      </c>
      <c r="G972" s="3">
        <v>45010.0625</v>
      </c>
      <c r="H972" s="3">
        <v>45010.114583333336</v>
      </c>
      <c r="I972" s="3">
        <v>45010.05972222222</v>
      </c>
      <c r="J972" s="3">
        <v>45010.111805555556</v>
      </c>
      <c r="K972" t="s">
        <v>16</v>
      </c>
      <c r="L972" t="s">
        <v>20</v>
      </c>
      <c r="M972" t="str">
        <f>VLOOKUP(Table1[[#This Row],[Job_Status]],$V$2:$W$4,2,FALSE)</f>
        <v>Good</v>
      </c>
      <c r="N972" s="7">
        <f>VLOOKUP(Table1[[#This Row],[Job_Status]],$V$2:$X$4,3,FALSE)</f>
        <v>0</v>
      </c>
    </row>
    <row r="973" spans="1:14" x14ac:dyDescent="0.3">
      <c r="A973" t="s">
        <v>30</v>
      </c>
      <c r="B973" t="s">
        <v>36</v>
      </c>
      <c r="C973" s="5">
        <v>1.88</v>
      </c>
      <c r="D973" s="7">
        <v>119</v>
      </c>
      <c r="E973" s="6">
        <v>4.6900000000000004</v>
      </c>
      <c r="F973">
        <v>83</v>
      </c>
      <c r="G973" s="3">
        <v>45010.069444444445</v>
      </c>
      <c r="H973" s="3">
        <v>45010.152083333334</v>
      </c>
      <c r="I973" s="3">
        <v>45010.065972222219</v>
      </c>
      <c r="J973" s="3">
        <v>45010.148611111108</v>
      </c>
      <c r="K973" t="s">
        <v>16</v>
      </c>
      <c r="L973" t="s">
        <v>20</v>
      </c>
      <c r="M973" t="str">
        <f>VLOOKUP(Table1[[#This Row],[Job_Status]],$V$2:$W$4,2,FALSE)</f>
        <v>Good</v>
      </c>
      <c r="N973" s="7">
        <f>VLOOKUP(Table1[[#This Row],[Job_Status]],$V$2:$X$4,3,FALSE)</f>
        <v>0</v>
      </c>
    </row>
    <row r="974" spans="1:14" x14ac:dyDescent="0.3">
      <c r="A974" t="s">
        <v>40</v>
      </c>
      <c r="B974" t="s">
        <v>36</v>
      </c>
      <c r="C974" s="5">
        <v>4.67</v>
      </c>
      <c r="D974" s="7">
        <v>59</v>
      </c>
      <c r="E974" s="6">
        <v>10.72</v>
      </c>
      <c r="F974">
        <v>80</v>
      </c>
      <c r="G974" s="3">
        <v>45010.076388888891</v>
      </c>
      <c r="H974" s="3">
        <v>45010.117361111108</v>
      </c>
      <c r="I974" s="3">
        <v>45010.07708333333</v>
      </c>
      <c r="J974" s="3">
        <v>45010.118055555555</v>
      </c>
      <c r="K974" t="s">
        <v>16</v>
      </c>
      <c r="L974" t="s">
        <v>17</v>
      </c>
      <c r="M974" t="str">
        <f>VLOOKUP(Table1[[#This Row],[Job_Status]],$V$2:$W$4,2,FALSE)</f>
        <v>Good</v>
      </c>
      <c r="N974" s="7">
        <f>VLOOKUP(Table1[[#This Row],[Job_Status]],$V$2:$X$4,3,FALSE)</f>
        <v>0</v>
      </c>
    </row>
    <row r="975" spans="1:14" x14ac:dyDescent="0.3">
      <c r="A975" t="s">
        <v>30</v>
      </c>
      <c r="B975" t="s">
        <v>32</v>
      </c>
      <c r="C975" s="5">
        <v>4.43</v>
      </c>
      <c r="D975" s="7">
        <v>61</v>
      </c>
      <c r="E975" s="6">
        <v>11.68</v>
      </c>
      <c r="F975">
        <v>89</v>
      </c>
      <c r="G975" s="3">
        <v>45010.083333333336</v>
      </c>
      <c r="H975" s="3">
        <v>45010.125694444447</v>
      </c>
      <c r="I975" s="3">
        <v>45010.079861111109</v>
      </c>
      <c r="J975" s="3">
        <v>45010.12222222222</v>
      </c>
      <c r="K975" t="s">
        <v>16</v>
      </c>
      <c r="L975" t="s">
        <v>20</v>
      </c>
      <c r="M975" t="str">
        <f>VLOOKUP(Table1[[#This Row],[Job_Status]],$V$2:$W$4,2,FALSE)</f>
        <v>Good</v>
      </c>
      <c r="N975" s="7">
        <f>VLOOKUP(Table1[[#This Row],[Job_Status]],$V$2:$X$4,3,FALSE)</f>
        <v>0</v>
      </c>
    </row>
    <row r="976" spans="1:14" x14ac:dyDescent="0.3">
      <c r="A976" t="s">
        <v>34</v>
      </c>
      <c r="B976" t="s">
        <v>23</v>
      </c>
      <c r="C976" s="5">
        <v>2.81</v>
      </c>
      <c r="D976" s="7">
        <v>41</v>
      </c>
      <c r="E976" s="6">
        <v>14.04</v>
      </c>
      <c r="F976">
        <v>92</v>
      </c>
      <c r="G976" s="3">
        <v>45010.090277777781</v>
      </c>
      <c r="H976" s="3">
        <v>45010.118750000001</v>
      </c>
      <c r="I976" s="3">
        <v>45010.106249999997</v>
      </c>
      <c r="J976" s="3">
        <v>45010.134722222225</v>
      </c>
      <c r="K976" t="s">
        <v>19</v>
      </c>
      <c r="L976" t="s">
        <v>20</v>
      </c>
      <c r="M976" t="str">
        <f>VLOOKUP(Table1[[#This Row],[Job_Status]],$V$2:$W$4,2,FALSE)</f>
        <v>Good</v>
      </c>
      <c r="N976" s="7">
        <f>VLOOKUP(Table1[[#This Row],[Job_Status]],$V$2:$X$4,3,FALSE)</f>
        <v>0</v>
      </c>
    </row>
    <row r="977" spans="1:14" x14ac:dyDescent="0.3">
      <c r="A977" t="s">
        <v>40</v>
      </c>
      <c r="B977" t="s">
        <v>27</v>
      </c>
      <c r="C977" s="5">
        <v>1.35</v>
      </c>
      <c r="D977" s="7">
        <v>93</v>
      </c>
      <c r="E977" s="6">
        <v>10.220000000000001</v>
      </c>
      <c r="F977">
        <v>94</v>
      </c>
      <c r="G977" s="3">
        <v>45010.097222222219</v>
      </c>
      <c r="H977" s="3">
        <v>45010.161805555559</v>
      </c>
      <c r="I977" s="3">
        <v>45010.095138888886</v>
      </c>
      <c r="J977" s="3">
        <v>45010.159722222219</v>
      </c>
      <c r="K977" t="s">
        <v>16</v>
      </c>
      <c r="L977" t="s">
        <v>20</v>
      </c>
      <c r="M977" t="str">
        <f>VLOOKUP(Table1[[#This Row],[Job_Status]],$V$2:$W$4,2,FALSE)</f>
        <v>Good</v>
      </c>
      <c r="N977" s="7">
        <f>VLOOKUP(Table1[[#This Row],[Job_Status]],$V$2:$X$4,3,FALSE)</f>
        <v>0</v>
      </c>
    </row>
    <row r="978" spans="1:14" x14ac:dyDescent="0.3">
      <c r="A978" t="s">
        <v>34</v>
      </c>
      <c r="B978" t="s">
        <v>23</v>
      </c>
      <c r="C978" s="5">
        <v>4.2300000000000004</v>
      </c>
      <c r="D978" s="7">
        <v>101</v>
      </c>
      <c r="E978" s="6">
        <v>9.23</v>
      </c>
      <c r="F978">
        <v>87</v>
      </c>
      <c r="G978" s="3">
        <v>45010.104166666664</v>
      </c>
      <c r="H978" s="3">
        <v>45010.174305555556</v>
      </c>
      <c r="K978" t="s">
        <v>24</v>
      </c>
      <c r="L978" t="s">
        <v>20</v>
      </c>
      <c r="M978" t="str">
        <f>VLOOKUP(Table1[[#This Row],[Job_Status]],$V$2:$W$4,2,FALSE)</f>
        <v>Defect</v>
      </c>
      <c r="N978" s="7">
        <f>VLOOKUP(Table1[[#This Row],[Job_Status]],$V$2:$X$4,3,FALSE)</f>
        <v>100</v>
      </c>
    </row>
    <row r="979" spans="1:14" x14ac:dyDescent="0.3">
      <c r="A979" t="s">
        <v>14</v>
      </c>
      <c r="B979" t="s">
        <v>32</v>
      </c>
      <c r="C979" s="5">
        <v>1.73</v>
      </c>
      <c r="D979" s="7">
        <v>78</v>
      </c>
      <c r="E979" s="6">
        <v>7</v>
      </c>
      <c r="F979">
        <v>93</v>
      </c>
      <c r="G979" s="3">
        <v>45010.111111111109</v>
      </c>
      <c r="H979" s="3">
        <v>45010.165277777778</v>
      </c>
      <c r="K979" t="s">
        <v>24</v>
      </c>
      <c r="L979" t="s">
        <v>20</v>
      </c>
      <c r="M979" t="str">
        <f>VLOOKUP(Table1[[#This Row],[Job_Status]],$V$2:$W$4,2,FALSE)</f>
        <v>Defect</v>
      </c>
      <c r="N979" s="7">
        <f>VLOOKUP(Table1[[#This Row],[Job_Status]],$V$2:$X$4,3,FALSE)</f>
        <v>100</v>
      </c>
    </row>
    <row r="980" spans="1:14" x14ac:dyDescent="0.3">
      <c r="A980" t="s">
        <v>30</v>
      </c>
      <c r="B980" t="s">
        <v>32</v>
      </c>
      <c r="C980" s="5">
        <v>3.57</v>
      </c>
      <c r="D980" s="7">
        <v>98</v>
      </c>
      <c r="E980" s="6">
        <v>10.050000000000001</v>
      </c>
      <c r="F980">
        <v>99</v>
      </c>
      <c r="G980" s="3">
        <v>45010.118055555555</v>
      </c>
      <c r="H980" s="3">
        <v>45010.186111111114</v>
      </c>
      <c r="I980" s="3">
        <v>45010.131944444445</v>
      </c>
      <c r="J980" s="3">
        <v>45010.2</v>
      </c>
      <c r="K980" t="s">
        <v>19</v>
      </c>
      <c r="L980" t="s">
        <v>20</v>
      </c>
      <c r="M980" t="str">
        <f>VLOOKUP(Table1[[#This Row],[Job_Status]],$V$2:$W$4,2,FALSE)</f>
        <v>Good</v>
      </c>
      <c r="N980" s="7">
        <f>VLOOKUP(Table1[[#This Row],[Job_Status]],$V$2:$X$4,3,FALSE)</f>
        <v>0</v>
      </c>
    </row>
    <row r="981" spans="1:14" x14ac:dyDescent="0.3">
      <c r="A981" t="s">
        <v>30</v>
      </c>
      <c r="B981" t="s">
        <v>23</v>
      </c>
      <c r="C981" s="5">
        <v>1.1499999999999999</v>
      </c>
      <c r="D981" s="7">
        <v>100</v>
      </c>
      <c r="E981" s="6">
        <v>9.77</v>
      </c>
      <c r="F981">
        <v>98</v>
      </c>
      <c r="G981" s="3">
        <v>45010.125</v>
      </c>
      <c r="H981" s="3">
        <v>45010.194444444445</v>
      </c>
      <c r="I981" s="3">
        <v>45010.137499999997</v>
      </c>
      <c r="J981" s="3">
        <v>45010.206944444442</v>
      </c>
      <c r="K981" t="s">
        <v>19</v>
      </c>
      <c r="L981" t="s">
        <v>20</v>
      </c>
      <c r="M981" t="str">
        <f>VLOOKUP(Table1[[#This Row],[Job_Status]],$V$2:$W$4,2,FALSE)</f>
        <v>Good</v>
      </c>
      <c r="N981" s="7">
        <f>VLOOKUP(Table1[[#This Row],[Job_Status]],$V$2:$X$4,3,FALSE)</f>
        <v>0</v>
      </c>
    </row>
    <row r="982" spans="1:14" x14ac:dyDescent="0.3">
      <c r="A982" t="s">
        <v>40</v>
      </c>
      <c r="B982" t="s">
        <v>23</v>
      </c>
      <c r="C982" s="5">
        <v>4.16</v>
      </c>
      <c r="D982" s="7">
        <v>71</v>
      </c>
      <c r="E982" s="6">
        <v>12.3</v>
      </c>
      <c r="F982">
        <v>84</v>
      </c>
      <c r="G982" s="3">
        <v>45010.131944444445</v>
      </c>
      <c r="H982" s="3">
        <v>45010.181250000001</v>
      </c>
      <c r="K982" t="s">
        <v>24</v>
      </c>
      <c r="L982" t="s">
        <v>20</v>
      </c>
      <c r="M982" t="str">
        <f>VLOOKUP(Table1[[#This Row],[Job_Status]],$V$2:$W$4,2,FALSE)</f>
        <v>Defect</v>
      </c>
      <c r="N982" s="7">
        <f>VLOOKUP(Table1[[#This Row],[Job_Status]],$V$2:$X$4,3,FALSE)</f>
        <v>100</v>
      </c>
    </row>
    <row r="983" spans="1:14" x14ac:dyDescent="0.3">
      <c r="A983" t="s">
        <v>30</v>
      </c>
      <c r="B983" t="s">
        <v>36</v>
      </c>
      <c r="C983" s="5">
        <v>1.89</v>
      </c>
      <c r="D983" s="7">
        <v>80</v>
      </c>
      <c r="E983" s="6">
        <v>14.98</v>
      </c>
      <c r="F983">
        <v>91</v>
      </c>
      <c r="G983" s="3">
        <v>45010.138888888891</v>
      </c>
      <c r="H983" s="3">
        <v>45010.194444444445</v>
      </c>
      <c r="I983" s="3">
        <v>45010.136805555558</v>
      </c>
      <c r="J983" s="3">
        <v>45010.192361111112</v>
      </c>
      <c r="K983" t="s">
        <v>16</v>
      </c>
      <c r="L983" t="s">
        <v>20</v>
      </c>
      <c r="M983" t="str">
        <f>VLOOKUP(Table1[[#This Row],[Job_Status]],$V$2:$W$4,2,FALSE)</f>
        <v>Good</v>
      </c>
      <c r="N983" s="7">
        <f>VLOOKUP(Table1[[#This Row],[Job_Status]],$V$2:$X$4,3,FALSE)</f>
        <v>0</v>
      </c>
    </row>
    <row r="984" spans="1:14" x14ac:dyDescent="0.3">
      <c r="A984" t="s">
        <v>14</v>
      </c>
      <c r="B984" t="s">
        <v>23</v>
      </c>
      <c r="C984" s="5">
        <v>1.29</v>
      </c>
      <c r="D984" s="7">
        <v>27</v>
      </c>
      <c r="E984" s="6">
        <v>13.25</v>
      </c>
      <c r="F984">
        <v>96</v>
      </c>
      <c r="G984" s="3">
        <v>45010.145833333336</v>
      </c>
      <c r="H984" s="3">
        <v>45010.164583333331</v>
      </c>
      <c r="I984" s="3">
        <v>45010.145138888889</v>
      </c>
      <c r="J984" s="3">
        <v>45010.163888888892</v>
      </c>
      <c r="K984" t="s">
        <v>16</v>
      </c>
      <c r="L984" t="s">
        <v>20</v>
      </c>
      <c r="M984" t="str">
        <f>VLOOKUP(Table1[[#This Row],[Job_Status]],$V$2:$W$4,2,FALSE)</f>
        <v>Good</v>
      </c>
      <c r="N984" s="7">
        <f>VLOOKUP(Table1[[#This Row],[Job_Status]],$V$2:$X$4,3,FALSE)</f>
        <v>0</v>
      </c>
    </row>
    <row r="985" spans="1:14" x14ac:dyDescent="0.3">
      <c r="A985" t="s">
        <v>34</v>
      </c>
      <c r="B985" t="s">
        <v>27</v>
      </c>
      <c r="C985" s="5">
        <v>2.85</v>
      </c>
      <c r="D985" s="7">
        <v>46</v>
      </c>
      <c r="E985" s="6">
        <v>14.1</v>
      </c>
      <c r="F985">
        <v>91</v>
      </c>
      <c r="G985" s="3">
        <v>45010.152777777781</v>
      </c>
      <c r="H985" s="3">
        <v>45010.18472222222</v>
      </c>
      <c r="I985" s="3">
        <v>45010.160416666666</v>
      </c>
      <c r="J985" s="3">
        <v>45010.192361111112</v>
      </c>
      <c r="K985" t="s">
        <v>19</v>
      </c>
      <c r="L985" t="s">
        <v>20</v>
      </c>
      <c r="M985" t="str">
        <f>VLOOKUP(Table1[[#This Row],[Job_Status]],$V$2:$W$4,2,FALSE)</f>
        <v>Good</v>
      </c>
      <c r="N985" s="7">
        <f>VLOOKUP(Table1[[#This Row],[Job_Status]],$V$2:$X$4,3,FALSE)</f>
        <v>0</v>
      </c>
    </row>
    <row r="986" spans="1:14" x14ac:dyDescent="0.3">
      <c r="A986" t="s">
        <v>22</v>
      </c>
      <c r="B986" t="s">
        <v>15</v>
      </c>
      <c r="C986" s="5">
        <v>2.02</v>
      </c>
      <c r="D986" s="7">
        <v>74</v>
      </c>
      <c r="E986" s="6">
        <v>9.0500000000000007</v>
      </c>
      <c r="F986">
        <v>84</v>
      </c>
      <c r="G986" s="3">
        <v>45010.159722222219</v>
      </c>
      <c r="H986" s="3">
        <v>45010.211111111108</v>
      </c>
      <c r="I986" s="3">
        <v>45010.178472222222</v>
      </c>
      <c r="J986" s="3">
        <v>45010.229861111111</v>
      </c>
      <c r="K986" t="s">
        <v>19</v>
      </c>
      <c r="L986" t="s">
        <v>20</v>
      </c>
      <c r="M986" t="str">
        <f>VLOOKUP(Table1[[#This Row],[Job_Status]],$V$2:$W$4,2,FALSE)</f>
        <v>Good</v>
      </c>
      <c r="N986" s="7">
        <f>VLOOKUP(Table1[[#This Row],[Job_Status]],$V$2:$X$4,3,FALSE)</f>
        <v>0</v>
      </c>
    </row>
    <row r="987" spans="1:14" x14ac:dyDescent="0.3">
      <c r="A987" t="s">
        <v>30</v>
      </c>
      <c r="B987" t="s">
        <v>23</v>
      </c>
      <c r="C987" s="5">
        <v>3.71</v>
      </c>
      <c r="D987" s="7">
        <v>103</v>
      </c>
      <c r="E987" s="6">
        <v>5.66</v>
      </c>
      <c r="F987">
        <v>92</v>
      </c>
      <c r="G987" s="3">
        <v>45010.166666666664</v>
      </c>
      <c r="H987" s="3">
        <v>45010.238194444442</v>
      </c>
      <c r="I987" s="3">
        <v>45010.175694444442</v>
      </c>
      <c r="J987" s="3">
        <v>45010.24722222222</v>
      </c>
      <c r="K987" t="s">
        <v>19</v>
      </c>
      <c r="L987" t="s">
        <v>20</v>
      </c>
      <c r="M987" t="str">
        <f>VLOOKUP(Table1[[#This Row],[Job_Status]],$V$2:$W$4,2,FALSE)</f>
        <v>Good</v>
      </c>
      <c r="N987" s="7">
        <f>VLOOKUP(Table1[[#This Row],[Job_Status]],$V$2:$X$4,3,FALSE)</f>
        <v>0</v>
      </c>
    </row>
    <row r="988" spans="1:14" x14ac:dyDescent="0.3">
      <c r="A988" t="s">
        <v>34</v>
      </c>
      <c r="B988" t="s">
        <v>23</v>
      </c>
      <c r="C988" s="5">
        <v>3.47</v>
      </c>
      <c r="D988" s="7">
        <v>60</v>
      </c>
      <c r="E988" s="6">
        <v>3.53</v>
      </c>
      <c r="F988">
        <v>93</v>
      </c>
      <c r="G988" s="3">
        <v>45010.173611111109</v>
      </c>
      <c r="H988" s="3">
        <v>45010.215277777781</v>
      </c>
      <c r="I988" s="3">
        <v>45010.175000000003</v>
      </c>
      <c r="J988" s="3">
        <v>45010.216666666667</v>
      </c>
      <c r="K988" t="s">
        <v>16</v>
      </c>
      <c r="L988" t="s">
        <v>28</v>
      </c>
      <c r="M988" t="str">
        <f>VLOOKUP(Table1[[#This Row],[Job_Status]],$V$2:$W$4,2,FALSE)</f>
        <v>Good</v>
      </c>
      <c r="N988" s="7">
        <f>VLOOKUP(Table1[[#This Row],[Job_Status]],$V$2:$X$4,3,FALSE)</f>
        <v>0</v>
      </c>
    </row>
    <row r="989" spans="1:14" x14ac:dyDescent="0.3">
      <c r="A989" t="s">
        <v>30</v>
      </c>
      <c r="B989" t="s">
        <v>27</v>
      </c>
      <c r="C989" s="5">
        <v>1.9</v>
      </c>
      <c r="D989" s="7">
        <v>120</v>
      </c>
      <c r="E989" s="6">
        <v>10.87</v>
      </c>
      <c r="F989">
        <v>97</v>
      </c>
      <c r="G989" s="3">
        <v>45010.180555555555</v>
      </c>
      <c r="H989" s="3">
        <v>45010.263888888891</v>
      </c>
      <c r="I989" s="3">
        <v>45010.179166666669</v>
      </c>
      <c r="J989" s="3">
        <v>45010.262499999997</v>
      </c>
      <c r="K989" t="s">
        <v>16</v>
      </c>
      <c r="L989" t="s">
        <v>20</v>
      </c>
      <c r="M989" t="str">
        <f>VLOOKUP(Table1[[#This Row],[Job_Status]],$V$2:$W$4,2,FALSE)</f>
        <v>Good</v>
      </c>
      <c r="N989" s="7">
        <f>VLOOKUP(Table1[[#This Row],[Job_Status]],$V$2:$X$4,3,FALSE)</f>
        <v>0</v>
      </c>
    </row>
    <row r="990" spans="1:14" x14ac:dyDescent="0.3">
      <c r="A990" t="s">
        <v>22</v>
      </c>
      <c r="B990" t="s">
        <v>32</v>
      </c>
      <c r="C990" s="5">
        <v>3.38</v>
      </c>
      <c r="D990" s="7">
        <v>104</v>
      </c>
      <c r="E990" s="6">
        <v>8.83</v>
      </c>
      <c r="F990">
        <v>82</v>
      </c>
      <c r="G990" s="3">
        <v>45010.1875</v>
      </c>
      <c r="H990" s="3">
        <v>45010.259722222225</v>
      </c>
      <c r="I990" s="3">
        <v>45010.185416666667</v>
      </c>
      <c r="J990" s="3">
        <v>45010.257638888892</v>
      </c>
      <c r="K990" t="s">
        <v>16</v>
      </c>
      <c r="L990" t="s">
        <v>20</v>
      </c>
      <c r="M990" t="str">
        <f>VLOOKUP(Table1[[#This Row],[Job_Status]],$V$2:$W$4,2,FALSE)</f>
        <v>Good</v>
      </c>
      <c r="N990" s="7">
        <f>VLOOKUP(Table1[[#This Row],[Job_Status]],$V$2:$X$4,3,FALSE)</f>
        <v>0</v>
      </c>
    </row>
    <row r="991" spans="1:14" x14ac:dyDescent="0.3">
      <c r="A991" t="s">
        <v>40</v>
      </c>
      <c r="B991" t="s">
        <v>32</v>
      </c>
      <c r="C991" s="5">
        <v>3.77</v>
      </c>
      <c r="D991" s="7">
        <v>89</v>
      </c>
      <c r="E991" s="6">
        <v>5.67</v>
      </c>
      <c r="F991">
        <v>98</v>
      </c>
      <c r="G991" s="3">
        <v>45010.194444444445</v>
      </c>
      <c r="H991" s="3">
        <v>45010.256249999999</v>
      </c>
      <c r="I991" s="3">
        <v>45010.191666666666</v>
      </c>
      <c r="J991" s="3">
        <v>45010.253472222219</v>
      </c>
      <c r="K991" t="s">
        <v>16</v>
      </c>
      <c r="L991" t="s">
        <v>20</v>
      </c>
      <c r="M991" t="str">
        <f>VLOOKUP(Table1[[#This Row],[Job_Status]],$V$2:$W$4,2,FALSE)</f>
        <v>Good</v>
      </c>
      <c r="N991" s="7">
        <f>VLOOKUP(Table1[[#This Row],[Job_Status]],$V$2:$X$4,3,FALSE)</f>
        <v>0</v>
      </c>
    </row>
    <row r="992" spans="1:14" x14ac:dyDescent="0.3">
      <c r="A992" t="s">
        <v>40</v>
      </c>
      <c r="B992" t="s">
        <v>32</v>
      </c>
      <c r="C992" s="5">
        <v>1.62</v>
      </c>
      <c r="D992" s="7">
        <v>87</v>
      </c>
      <c r="E992" s="6">
        <v>12.82</v>
      </c>
      <c r="F992">
        <v>86</v>
      </c>
      <c r="G992" s="3">
        <v>45010.201388888891</v>
      </c>
      <c r="H992" s="3">
        <v>45010.261805555558</v>
      </c>
      <c r="I992" s="3">
        <v>45010.2</v>
      </c>
      <c r="J992" s="3">
        <v>45010.260416666664</v>
      </c>
      <c r="K992" t="s">
        <v>16</v>
      </c>
      <c r="L992" t="s">
        <v>20</v>
      </c>
      <c r="M992" t="str">
        <f>VLOOKUP(Table1[[#This Row],[Job_Status]],$V$2:$W$4,2,FALSE)</f>
        <v>Good</v>
      </c>
      <c r="N992" s="7">
        <f>VLOOKUP(Table1[[#This Row],[Job_Status]],$V$2:$X$4,3,FALSE)</f>
        <v>0</v>
      </c>
    </row>
    <row r="993" spans="1:14" x14ac:dyDescent="0.3">
      <c r="A993" t="s">
        <v>30</v>
      </c>
      <c r="B993" t="s">
        <v>32</v>
      </c>
      <c r="C993" s="5">
        <v>3.05</v>
      </c>
      <c r="D993" s="7">
        <v>36</v>
      </c>
      <c r="E993" s="6">
        <v>6.33</v>
      </c>
      <c r="F993">
        <v>99</v>
      </c>
      <c r="G993" s="3">
        <v>45010.208333333336</v>
      </c>
      <c r="H993" s="3">
        <v>45010.23333333333</v>
      </c>
      <c r="I993" s="3">
        <v>45010.205555555556</v>
      </c>
      <c r="J993" s="3">
        <v>45010.230555555558</v>
      </c>
      <c r="K993" t="s">
        <v>16</v>
      </c>
      <c r="L993" t="s">
        <v>20</v>
      </c>
      <c r="M993" t="str">
        <f>VLOOKUP(Table1[[#This Row],[Job_Status]],$V$2:$W$4,2,FALSE)</f>
        <v>Good</v>
      </c>
      <c r="N993" s="7">
        <f>VLOOKUP(Table1[[#This Row],[Job_Status]],$V$2:$X$4,3,FALSE)</f>
        <v>0</v>
      </c>
    </row>
    <row r="994" spans="1:14" x14ac:dyDescent="0.3">
      <c r="A994" t="s">
        <v>14</v>
      </c>
      <c r="B994" t="s">
        <v>15</v>
      </c>
      <c r="C994" s="5">
        <v>4.2699999999999996</v>
      </c>
      <c r="D994" s="7">
        <v>83</v>
      </c>
      <c r="E994" s="6">
        <v>6.7</v>
      </c>
      <c r="F994">
        <v>96</v>
      </c>
      <c r="G994" s="3">
        <v>45010.215277777781</v>
      </c>
      <c r="H994" s="3">
        <v>45010.272916666669</v>
      </c>
      <c r="I994" s="3">
        <v>45010.218055555553</v>
      </c>
      <c r="J994" s="3">
        <v>45010.275694444441</v>
      </c>
      <c r="K994" t="s">
        <v>16</v>
      </c>
      <c r="L994" t="s">
        <v>28</v>
      </c>
      <c r="M994" t="str">
        <f>VLOOKUP(Table1[[#This Row],[Job_Status]],$V$2:$W$4,2,FALSE)</f>
        <v>Good</v>
      </c>
      <c r="N994" s="7">
        <f>VLOOKUP(Table1[[#This Row],[Job_Status]],$V$2:$X$4,3,FALSE)</f>
        <v>0</v>
      </c>
    </row>
    <row r="995" spans="1:14" x14ac:dyDescent="0.3">
      <c r="A995" t="s">
        <v>34</v>
      </c>
      <c r="B995" t="s">
        <v>27</v>
      </c>
      <c r="C995" s="5">
        <v>3.68</v>
      </c>
      <c r="D995" s="7">
        <v>105</v>
      </c>
      <c r="E995" s="6">
        <v>9.9499999999999993</v>
      </c>
      <c r="F995">
        <v>95</v>
      </c>
      <c r="G995" s="3">
        <v>45010.222222222219</v>
      </c>
      <c r="H995" s="3">
        <v>45010.295138888891</v>
      </c>
      <c r="I995" s="3">
        <v>45010.231249999997</v>
      </c>
      <c r="J995" s="3">
        <v>45010.304166666669</v>
      </c>
      <c r="K995" t="s">
        <v>19</v>
      </c>
      <c r="L995" t="s">
        <v>20</v>
      </c>
      <c r="M995" t="str">
        <f>VLOOKUP(Table1[[#This Row],[Job_Status]],$V$2:$W$4,2,FALSE)</f>
        <v>Good</v>
      </c>
      <c r="N995" s="7">
        <f>VLOOKUP(Table1[[#This Row],[Job_Status]],$V$2:$X$4,3,FALSE)</f>
        <v>0</v>
      </c>
    </row>
    <row r="996" spans="1:14" x14ac:dyDescent="0.3">
      <c r="A996" t="s">
        <v>34</v>
      </c>
      <c r="B996" t="s">
        <v>32</v>
      </c>
      <c r="C996" s="5">
        <v>3.35</v>
      </c>
      <c r="D996" s="7">
        <v>94</v>
      </c>
      <c r="E996" s="6">
        <v>9.39</v>
      </c>
      <c r="F996">
        <v>89</v>
      </c>
      <c r="G996" s="3">
        <v>45010.229166666664</v>
      </c>
      <c r="H996" s="3">
        <v>45010.294444444444</v>
      </c>
      <c r="I996" s="3">
        <v>45010.227083333331</v>
      </c>
      <c r="J996" s="3">
        <v>45010.292361111111</v>
      </c>
      <c r="K996" t="s">
        <v>16</v>
      </c>
      <c r="L996" t="s">
        <v>20</v>
      </c>
      <c r="M996" t="str">
        <f>VLOOKUP(Table1[[#This Row],[Job_Status]],$V$2:$W$4,2,FALSE)</f>
        <v>Good</v>
      </c>
      <c r="N996" s="7">
        <f>VLOOKUP(Table1[[#This Row],[Job_Status]],$V$2:$X$4,3,FALSE)</f>
        <v>0</v>
      </c>
    </row>
    <row r="997" spans="1:14" x14ac:dyDescent="0.3">
      <c r="A997" t="s">
        <v>40</v>
      </c>
      <c r="B997" t="s">
        <v>36</v>
      </c>
      <c r="C997" s="5">
        <v>4.37</v>
      </c>
      <c r="D997" s="7">
        <v>118</v>
      </c>
      <c r="E997" s="6">
        <v>14.12</v>
      </c>
      <c r="F997">
        <v>88</v>
      </c>
      <c r="G997" s="3">
        <v>45010.236111111109</v>
      </c>
      <c r="H997" s="3">
        <v>45010.318055555559</v>
      </c>
      <c r="K997" t="s">
        <v>24</v>
      </c>
      <c r="L997" t="s">
        <v>20</v>
      </c>
      <c r="M997" t="str">
        <f>VLOOKUP(Table1[[#This Row],[Job_Status]],$V$2:$W$4,2,FALSE)</f>
        <v>Defect</v>
      </c>
      <c r="N997" s="7">
        <f>VLOOKUP(Table1[[#This Row],[Job_Status]],$V$2:$X$4,3,FALSE)</f>
        <v>100</v>
      </c>
    </row>
    <row r="998" spans="1:14" x14ac:dyDescent="0.3">
      <c r="A998" t="s">
        <v>30</v>
      </c>
      <c r="B998" t="s">
        <v>32</v>
      </c>
      <c r="C998" s="5">
        <v>4.8600000000000003</v>
      </c>
      <c r="D998" s="7">
        <v>50</v>
      </c>
      <c r="E998" s="6">
        <v>3.71</v>
      </c>
      <c r="F998">
        <v>97</v>
      </c>
      <c r="G998" s="3">
        <v>45010.243055555555</v>
      </c>
      <c r="H998" s="3">
        <v>45010.277777777781</v>
      </c>
      <c r="K998" t="s">
        <v>24</v>
      </c>
      <c r="L998" t="s">
        <v>20</v>
      </c>
      <c r="M998" t="str">
        <f>VLOOKUP(Table1[[#This Row],[Job_Status]],$V$2:$W$4,2,FALSE)</f>
        <v>Defect</v>
      </c>
      <c r="N998" s="7">
        <f>VLOOKUP(Table1[[#This Row],[Job_Status]],$V$2:$X$4,3,FALSE)</f>
        <v>100</v>
      </c>
    </row>
    <row r="999" spans="1:14" x14ac:dyDescent="0.3">
      <c r="A999" t="s">
        <v>34</v>
      </c>
      <c r="B999" t="s">
        <v>27</v>
      </c>
      <c r="C999" s="5">
        <v>2.72</v>
      </c>
      <c r="D999" s="7">
        <v>60</v>
      </c>
      <c r="E999" s="6">
        <v>3.17</v>
      </c>
      <c r="F999">
        <v>96</v>
      </c>
      <c r="G999" s="3">
        <v>45010.25</v>
      </c>
      <c r="H999" s="3">
        <v>45010.291666666664</v>
      </c>
      <c r="K999" t="s">
        <v>24</v>
      </c>
      <c r="L999" t="s">
        <v>20</v>
      </c>
      <c r="M999" t="str">
        <f>VLOOKUP(Table1[[#This Row],[Job_Status]],$V$2:$W$4,2,FALSE)</f>
        <v>Defect</v>
      </c>
      <c r="N999" s="7">
        <f>VLOOKUP(Table1[[#This Row],[Job_Status]],$V$2:$X$4,3,FALSE)</f>
        <v>100</v>
      </c>
    </row>
    <row r="1000" spans="1:14" x14ac:dyDescent="0.3">
      <c r="A1000" t="s">
        <v>40</v>
      </c>
      <c r="B1000" t="s">
        <v>27</v>
      </c>
      <c r="C1000" s="5">
        <v>1.31</v>
      </c>
      <c r="D1000" s="7">
        <v>102</v>
      </c>
      <c r="E1000" s="6">
        <v>14.1</v>
      </c>
      <c r="F1000">
        <v>83</v>
      </c>
      <c r="G1000" s="3">
        <v>45010.256944444445</v>
      </c>
      <c r="H1000" s="3">
        <v>45010.327777777777</v>
      </c>
      <c r="I1000" s="3">
        <v>45010.260416666664</v>
      </c>
      <c r="J1000" s="3">
        <v>45010.331250000003</v>
      </c>
      <c r="K1000" t="s">
        <v>16</v>
      </c>
      <c r="L1000" t="s">
        <v>17</v>
      </c>
      <c r="M1000" t="str">
        <f>VLOOKUP(Table1[[#This Row],[Job_Status]],$V$2:$W$4,2,FALSE)</f>
        <v>Good</v>
      </c>
      <c r="N1000" s="7">
        <f>VLOOKUP(Table1[[#This Row],[Job_Status]],$V$2:$X$4,3,FALSE)</f>
        <v>0</v>
      </c>
    </row>
    <row r="1001" spans="1:14" x14ac:dyDescent="0.3">
      <c r="A1001" t="s">
        <v>30</v>
      </c>
      <c r="B1001" t="s">
        <v>27</v>
      </c>
      <c r="C1001" s="5">
        <v>2.4</v>
      </c>
      <c r="D1001" s="7">
        <v>75</v>
      </c>
      <c r="E1001" s="6">
        <v>9.08</v>
      </c>
      <c r="F1001">
        <v>83</v>
      </c>
      <c r="G1001" s="3">
        <v>45010.263888888891</v>
      </c>
      <c r="H1001" s="3">
        <v>45010.315972222219</v>
      </c>
      <c r="I1001" s="3">
        <v>45010.26666666667</v>
      </c>
      <c r="J1001" s="3">
        <v>45010.318749999999</v>
      </c>
      <c r="K1001" t="s">
        <v>16</v>
      </c>
      <c r="L1001" t="s">
        <v>17</v>
      </c>
      <c r="M1001" t="str">
        <f>VLOOKUP(Table1[[#This Row],[Job_Status]],$V$2:$W$4,2,FALSE)</f>
        <v>Good</v>
      </c>
      <c r="N1001" s="7">
        <f>VLOOKUP(Table1[[#This Row],[Job_Status]],$V$2:$X$4,3,FALSE)</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9760-4487-492C-B4B5-92D35B3BF18A}">
  <dimension ref="A3:F60"/>
  <sheetViews>
    <sheetView topLeftCell="A36" zoomScale="83" zoomScaleNormal="122" workbookViewId="0">
      <selection activeCell="Q60" sqref="Q60"/>
    </sheetView>
  </sheetViews>
  <sheetFormatPr defaultRowHeight="14.4" x14ac:dyDescent="0.3"/>
  <cols>
    <col min="1" max="1" width="17.109375" bestFit="1" customWidth="1"/>
    <col min="2" max="2" width="28.6640625" bestFit="1" customWidth="1"/>
    <col min="3" max="3" width="13.21875" bestFit="1" customWidth="1"/>
    <col min="4" max="4" width="18" bestFit="1" customWidth="1"/>
    <col min="5" max="5" width="16.6640625" bestFit="1" customWidth="1"/>
    <col min="6" max="6" width="10.5546875" bestFit="1" customWidth="1"/>
    <col min="7" max="21" width="3.109375" bestFit="1" customWidth="1"/>
    <col min="22" max="22" width="10.77734375" bestFit="1" customWidth="1"/>
    <col min="23" max="23" width="14.33203125" bestFit="1" customWidth="1"/>
    <col min="24" max="42" width="3.109375" bestFit="1" customWidth="1"/>
    <col min="43" max="43" width="18" bestFit="1" customWidth="1"/>
    <col min="44" max="44" width="19.44140625" bestFit="1" customWidth="1"/>
    <col min="45" max="63" width="3.109375" bestFit="1" customWidth="1"/>
    <col min="64" max="64" width="22.88671875" bestFit="1" customWidth="1"/>
    <col min="65" max="65" width="18.109375" bestFit="1" customWidth="1"/>
    <col min="66" max="70" width="3.109375" bestFit="1" customWidth="1"/>
    <col min="71" max="71" width="21.5546875" bestFit="1" customWidth="1"/>
    <col min="72" max="72" width="10.77734375" bestFit="1" customWidth="1"/>
    <col min="73" max="101" width="16.6640625" bestFit="1" customWidth="1"/>
    <col min="102" max="102" width="10.77734375" bestFit="1" customWidth="1"/>
  </cols>
  <sheetData>
    <row r="3" spans="1:6" x14ac:dyDescent="0.3">
      <c r="B3" s="11" t="s">
        <v>1048</v>
      </c>
    </row>
    <row r="4" spans="1:6" x14ac:dyDescent="0.3">
      <c r="A4" s="11" t="s">
        <v>1035</v>
      </c>
      <c r="B4" t="s">
        <v>1032</v>
      </c>
      <c r="C4" t="s">
        <v>1033</v>
      </c>
      <c r="D4" t="s">
        <v>1034</v>
      </c>
    </row>
    <row r="5" spans="1:6" x14ac:dyDescent="0.3">
      <c r="A5" s="12" t="s">
        <v>23</v>
      </c>
      <c r="B5" s="5">
        <v>597.51</v>
      </c>
      <c r="C5" s="7">
        <v>13416</v>
      </c>
      <c r="D5" s="6">
        <v>1624.4499999999994</v>
      </c>
    </row>
    <row r="6" spans="1:6" x14ac:dyDescent="0.3">
      <c r="A6" s="12" t="s">
        <v>36</v>
      </c>
      <c r="B6" s="5">
        <v>571.86999999999978</v>
      </c>
      <c r="C6" s="7">
        <v>13508</v>
      </c>
      <c r="D6" s="6">
        <v>1674.68</v>
      </c>
    </row>
    <row r="7" spans="1:6" x14ac:dyDescent="0.3">
      <c r="A7" s="12" t="s">
        <v>15</v>
      </c>
      <c r="B7" s="5">
        <v>616.26999999999987</v>
      </c>
      <c r="C7" s="7">
        <v>15260</v>
      </c>
      <c r="D7" s="6">
        <v>1766.0499999999997</v>
      </c>
    </row>
    <row r="8" spans="1:6" x14ac:dyDescent="0.3">
      <c r="A8" s="12" t="s">
        <v>27</v>
      </c>
      <c r="B8" s="5">
        <v>630.67000000000041</v>
      </c>
      <c r="C8" s="7">
        <v>15088</v>
      </c>
      <c r="D8" s="6">
        <v>1797.4900000000005</v>
      </c>
    </row>
    <row r="9" spans="1:6" x14ac:dyDescent="0.3">
      <c r="A9" s="12" t="s">
        <v>32</v>
      </c>
      <c r="B9" s="5">
        <v>610.15999999999985</v>
      </c>
      <c r="C9" s="7">
        <v>14112</v>
      </c>
      <c r="D9" s="6">
        <v>1658.6700000000003</v>
      </c>
    </row>
    <row r="10" spans="1:6" x14ac:dyDescent="0.3">
      <c r="A10" s="12" t="s">
        <v>1031</v>
      </c>
      <c r="B10" s="5">
        <v>3026.48</v>
      </c>
      <c r="C10" s="7">
        <v>71384</v>
      </c>
      <c r="D10" s="6">
        <v>8521.34</v>
      </c>
    </row>
    <row r="11" spans="1:6" x14ac:dyDescent="0.3">
      <c r="A11" s="11" t="s">
        <v>1036</v>
      </c>
      <c r="B11" s="11" t="s">
        <v>1030</v>
      </c>
    </row>
    <row r="12" spans="1:6" x14ac:dyDescent="0.3">
      <c r="A12" s="11" t="s">
        <v>1035</v>
      </c>
      <c r="B12" t="s">
        <v>28</v>
      </c>
      <c r="C12" t="s">
        <v>20</v>
      </c>
      <c r="D12" t="s">
        <v>17</v>
      </c>
      <c r="E12" t="s">
        <v>43</v>
      </c>
      <c r="F12" t="s">
        <v>1031</v>
      </c>
    </row>
    <row r="13" spans="1:6" x14ac:dyDescent="0.3">
      <c r="A13" s="12" t="s">
        <v>23</v>
      </c>
      <c r="B13" s="15">
        <v>36</v>
      </c>
      <c r="C13" s="15">
        <v>115</v>
      </c>
      <c r="D13" s="15">
        <v>36</v>
      </c>
      <c r="E13" s="15">
        <v>3</v>
      </c>
      <c r="F13" s="15">
        <v>190</v>
      </c>
    </row>
    <row r="14" spans="1:6" x14ac:dyDescent="0.3">
      <c r="A14" s="12" t="s">
        <v>36</v>
      </c>
      <c r="B14" s="15">
        <v>25</v>
      </c>
      <c r="C14" s="15">
        <v>117</v>
      </c>
      <c r="D14" s="15">
        <v>47</v>
      </c>
      <c r="E14" s="15"/>
      <c r="F14" s="15">
        <v>189</v>
      </c>
    </row>
    <row r="15" spans="1:6" x14ac:dyDescent="0.3">
      <c r="A15" s="12" t="s">
        <v>15</v>
      </c>
      <c r="B15" s="15">
        <v>28</v>
      </c>
      <c r="C15" s="15">
        <v>152</v>
      </c>
      <c r="D15" s="15">
        <v>28</v>
      </c>
      <c r="E15" s="15"/>
      <c r="F15" s="15">
        <v>208</v>
      </c>
    </row>
    <row r="16" spans="1:6" x14ac:dyDescent="0.3">
      <c r="A16" s="12" t="s">
        <v>27</v>
      </c>
      <c r="B16" s="15">
        <v>43</v>
      </c>
      <c r="C16" s="15">
        <v>131</v>
      </c>
      <c r="D16" s="15">
        <v>38</v>
      </c>
      <c r="E16" s="15"/>
      <c r="F16" s="15">
        <v>212</v>
      </c>
    </row>
    <row r="17" spans="1:6" x14ac:dyDescent="0.3">
      <c r="A17" s="12" t="s">
        <v>32</v>
      </c>
      <c r="B17" s="15">
        <v>29</v>
      </c>
      <c r="C17" s="15">
        <v>135</v>
      </c>
      <c r="D17" s="15">
        <v>34</v>
      </c>
      <c r="E17" s="15">
        <v>3</v>
      </c>
      <c r="F17" s="15">
        <v>201</v>
      </c>
    </row>
    <row r="18" spans="1:6" x14ac:dyDescent="0.3">
      <c r="A18" s="12" t="s">
        <v>1031</v>
      </c>
      <c r="B18" s="15">
        <v>161</v>
      </c>
      <c r="C18" s="15">
        <v>650</v>
      </c>
      <c r="D18" s="15">
        <v>183</v>
      </c>
      <c r="E18" s="15">
        <v>6</v>
      </c>
      <c r="F18" s="15">
        <v>1000</v>
      </c>
    </row>
    <row r="20" spans="1:6" x14ac:dyDescent="0.3">
      <c r="A20" s="11" t="s">
        <v>1035</v>
      </c>
      <c r="B20" t="s">
        <v>1038</v>
      </c>
    </row>
    <row r="21" spans="1:6" x14ac:dyDescent="0.3">
      <c r="A21" s="12" t="s">
        <v>23</v>
      </c>
      <c r="B21" s="15">
        <v>89.647368421052633</v>
      </c>
    </row>
    <row r="22" spans="1:6" x14ac:dyDescent="0.3">
      <c r="A22" s="12" t="s">
        <v>36</v>
      </c>
      <c r="B22" s="15">
        <v>89.100529100529101</v>
      </c>
    </row>
    <row r="23" spans="1:6" x14ac:dyDescent="0.3">
      <c r="A23" s="12" t="s">
        <v>15</v>
      </c>
      <c r="B23" s="15">
        <v>88.807692307692307</v>
      </c>
    </row>
    <row r="24" spans="1:6" x14ac:dyDescent="0.3">
      <c r="A24" s="12" t="s">
        <v>27</v>
      </c>
      <c r="B24" s="15">
        <v>89.056603773584911</v>
      </c>
    </row>
    <row r="25" spans="1:6" x14ac:dyDescent="0.3">
      <c r="A25" s="12" t="s">
        <v>32</v>
      </c>
      <c r="B25" s="15">
        <v>89.243781094527364</v>
      </c>
    </row>
    <row r="26" spans="1:6" x14ac:dyDescent="0.3">
      <c r="A26" s="12" t="s">
        <v>1031</v>
      </c>
      <c r="B26" s="15">
        <v>89.162999999999997</v>
      </c>
    </row>
    <row r="30" spans="1:6" x14ac:dyDescent="0.3">
      <c r="A30" s="11" t="s">
        <v>1035</v>
      </c>
      <c r="B30" t="s">
        <v>1037</v>
      </c>
    </row>
    <row r="31" spans="1:6" x14ac:dyDescent="0.3">
      <c r="A31" s="12" t="s">
        <v>16</v>
      </c>
      <c r="B31" s="15">
        <v>673</v>
      </c>
    </row>
    <row r="32" spans="1:6" x14ac:dyDescent="0.3">
      <c r="A32" s="12" t="s">
        <v>19</v>
      </c>
      <c r="B32" s="15">
        <v>198</v>
      </c>
    </row>
    <row r="33" spans="1:4" x14ac:dyDescent="0.3">
      <c r="A33" s="12" t="s">
        <v>24</v>
      </c>
      <c r="B33" s="15">
        <v>129</v>
      </c>
    </row>
    <row r="34" spans="1:4" x14ac:dyDescent="0.3">
      <c r="A34" s="12" t="s">
        <v>1031</v>
      </c>
      <c r="B34" s="15">
        <v>1000</v>
      </c>
    </row>
    <row r="39" spans="1:4" x14ac:dyDescent="0.3">
      <c r="A39" s="11" t="s">
        <v>1035</v>
      </c>
      <c r="B39" t="s">
        <v>1036</v>
      </c>
    </row>
    <row r="40" spans="1:4" x14ac:dyDescent="0.3">
      <c r="A40" s="12" t="s">
        <v>28</v>
      </c>
      <c r="B40" s="15">
        <v>161</v>
      </c>
    </row>
    <row r="41" spans="1:4" x14ac:dyDescent="0.3">
      <c r="A41" s="12" t="s">
        <v>20</v>
      </c>
      <c r="B41" s="15">
        <v>650</v>
      </c>
    </row>
    <row r="42" spans="1:4" x14ac:dyDescent="0.3">
      <c r="A42" s="12" t="s">
        <v>17</v>
      </c>
      <c r="B42" s="15">
        <v>183</v>
      </c>
    </row>
    <row r="43" spans="1:4" x14ac:dyDescent="0.3">
      <c r="A43" s="12" t="s">
        <v>43</v>
      </c>
      <c r="B43" s="15">
        <v>6</v>
      </c>
    </row>
    <row r="44" spans="1:4" x14ac:dyDescent="0.3">
      <c r="A44" s="12" t="s">
        <v>1031</v>
      </c>
      <c r="B44" s="15">
        <v>1000</v>
      </c>
    </row>
    <row r="46" spans="1:4" x14ac:dyDescent="0.3">
      <c r="A46" s="11" t="s">
        <v>1035</v>
      </c>
      <c r="B46" t="s">
        <v>1039</v>
      </c>
      <c r="C46" t="s">
        <v>1041</v>
      </c>
      <c r="D46" t="s">
        <v>1042</v>
      </c>
    </row>
    <row r="47" spans="1:4" x14ac:dyDescent="0.3">
      <c r="A47" s="12" t="s">
        <v>23</v>
      </c>
      <c r="B47" s="7">
        <v>70.610526315789471</v>
      </c>
      <c r="C47" s="5">
        <v>3.1447894736842104</v>
      </c>
      <c r="D47" s="6">
        <v>8.5497368421052595</v>
      </c>
    </row>
    <row r="48" spans="1:4" x14ac:dyDescent="0.3">
      <c r="A48" s="12" t="s">
        <v>36</v>
      </c>
      <c r="B48" s="7">
        <v>71.470899470899468</v>
      </c>
      <c r="C48" s="5">
        <v>3.0257671957671946</v>
      </c>
      <c r="D48" s="6">
        <v>8.8607407407407415</v>
      </c>
    </row>
    <row r="49" spans="1:4" x14ac:dyDescent="0.3">
      <c r="A49" s="12" t="s">
        <v>15</v>
      </c>
      <c r="B49" s="7">
        <v>73.365384615384613</v>
      </c>
      <c r="C49" s="5">
        <v>2.9628365384615378</v>
      </c>
      <c r="D49" s="6">
        <v>8.4906249999999979</v>
      </c>
    </row>
    <row r="50" spans="1:4" x14ac:dyDescent="0.3">
      <c r="A50" s="12" t="s">
        <v>27</v>
      </c>
      <c r="B50" s="7">
        <v>71.169811320754718</v>
      </c>
      <c r="C50" s="5">
        <v>2.9748584905660396</v>
      </c>
      <c r="D50" s="6">
        <v>8.4787264150943411</v>
      </c>
    </row>
    <row r="51" spans="1:4" x14ac:dyDescent="0.3">
      <c r="A51" s="12" t="s">
        <v>32</v>
      </c>
      <c r="B51" s="7">
        <v>70.208955223880594</v>
      </c>
      <c r="C51" s="5">
        <v>3.0356218905472629</v>
      </c>
      <c r="D51" s="6">
        <v>8.2520895522388074</v>
      </c>
    </row>
    <row r="52" spans="1:4" x14ac:dyDescent="0.3">
      <c r="A52" s="12" t="s">
        <v>1031</v>
      </c>
      <c r="B52" s="7">
        <v>71.384</v>
      </c>
      <c r="C52" s="5">
        <v>3.0264799999999976</v>
      </c>
      <c r="D52" s="6">
        <v>8.5213399999999986</v>
      </c>
    </row>
    <row r="54" spans="1:4" x14ac:dyDescent="0.3">
      <c r="A54" s="11" t="s">
        <v>1035</v>
      </c>
      <c r="B54" t="s">
        <v>1047</v>
      </c>
    </row>
    <row r="55" spans="1:4" x14ac:dyDescent="0.3">
      <c r="A55" s="12" t="s">
        <v>23</v>
      </c>
      <c r="B55" s="7">
        <v>13.157894736842104</v>
      </c>
    </row>
    <row r="56" spans="1:4" x14ac:dyDescent="0.3">
      <c r="A56" s="12" t="s">
        <v>36</v>
      </c>
      <c r="B56" s="7">
        <v>11.111111111111111</v>
      </c>
    </row>
    <row r="57" spans="1:4" x14ac:dyDescent="0.3">
      <c r="A57" s="12" t="s">
        <v>15</v>
      </c>
      <c r="B57" s="7">
        <v>12.01923076923077</v>
      </c>
    </row>
    <row r="58" spans="1:4" x14ac:dyDescent="0.3">
      <c r="A58" s="12" t="s">
        <v>27</v>
      </c>
      <c r="B58" s="7">
        <v>14.622641509433961</v>
      </c>
    </row>
    <row r="59" spans="1:4" x14ac:dyDescent="0.3">
      <c r="A59" s="12" t="s">
        <v>32</v>
      </c>
      <c r="B59" s="7">
        <v>13.432835820895523</v>
      </c>
    </row>
    <row r="60" spans="1:4" x14ac:dyDescent="0.3">
      <c r="A60" s="12" t="s">
        <v>1031</v>
      </c>
      <c r="B60" s="7">
        <v>12.9</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BAB3-932C-44C2-ABF9-E5B312BC11CB}">
  <dimension ref="A1:X3"/>
  <sheetViews>
    <sheetView showGridLines="0" tabSelected="1" workbookViewId="0">
      <selection sqref="A1:W3"/>
    </sheetView>
  </sheetViews>
  <sheetFormatPr defaultRowHeight="14.4" x14ac:dyDescent="0.3"/>
  <sheetData>
    <row r="1" spans="1:24" ht="14.4" customHeight="1" x14ac:dyDescent="0.3">
      <c r="A1" s="14" t="s">
        <v>1043</v>
      </c>
      <c r="B1" s="14"/>
      <c r="C1" s="14"/>
      <c r="D1" s="14"/>
      <c r="E1" s="14"/>
      <c r="F1" s="14"/>
      <c r="G1" s="14"/>
      <c r="H1" s="14"/>
      <c r="I1" s="14"/>
      <c r="J1" s="14"/>
      <c r="K1" s="14"/>
      <c r="L1" s="14"/>
      <c r="M1" s="14"/>
      <c r="N1" s="14"/>
      <c r="O1" s="14"/>
      <c r="P1" s="14"/>
      <c r="Q1" s="14"/>
      <c r="R1" s="14"/>
      <c r="S1" s="14"/>
      <c r="T1" s="14"/>
      <c r="U1" s="14"/>
      <c r="V1" s="14"/>
      <c r="W1" s="14"/>
      <c r="X1" s="13"/>
    </row>
    <row r="2" spans="1:24" ht="14.4" customHeight="1" x14ac:dyDescent="0.3">
      <c r="A2" s="14"/>
      <c r="B2" s="14"/>
      <c r="C2" s="14"/>
      <c r="D2" s="14"/>
      <c r="E2" s="14"/>
      <c r="F2" s="14"/>
      <c r="G2" s="14"/>
      <c r="H2" s="14"/>
      <c r="I2" s="14"/>
      <c r="J2" s="14"/>
      <c r="K2" s="14"/>
      <c r="L2" s="14"/>
      <c r="M2" s="14"/>
      <c r="N2" s="14"/>
      <c r="O2" s="14"/>
      <c r="P2" s="14"/>
      <c r="Q2" s="14"/>
      <c r="R2" s="14"/>
      <c r="S2" s="14"/>
      <c r="T2" s="14"/>
      <c r="U2" s="14"/>
      <c r="V2" s="14"/>
      <c r="W2" s="14"/>
      <c r="X2" s="13"/>
    </row>
    <row r="3" spans="1:24" ht="14.4" customHeight="1" x14ac:dyDescent="0.3">
      <c r="A3" s="14"/>
      <c r="B3" s="14"/>
      <c r="C3" s="14"/>
      <c r="D3" s="14"/>
      <c r="E3" s="14"/>
      <c r="F3" s="14"/>
      <c r="G3" s="14"/>
      <c r="H3" s="14"/>
      <c r="I3" s="14"/>
      <c r="J3" s="14"/>
      <c r="K3" s="14"/>
      <c r="L3" s="14"/>
      <c r="M3" s="14"/>
      <c r="N3" s="14"/>
      <c r="O3" s="14"/>
      <c r="P3" s="14"/>
      <c r="Q3" s="14"/>
      <c r="R3" s="14"/>
      <c r="S3" s="14"/>
      <c r="T3" s="14"/>
      <c r="U3" s="14"/>
      <c r="V3" s="14"/>
      <c r="W3" s="14"/>
      <c r="X3" s="13"/>
    </row>
  </sheetData>
  <mergeCells count="1">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Bashir</dc:creator>
  <cp:lastModifiedBy>Abdulrahman Bashir</cp:lastModifiedBy>
  <dcterms:created xsi:type="dcterms:W3CDTF">2025-10-07T03:20:22Z</dcterms:created>
  <dcterms:modified xsi:type="dcterms:W3CDTF">2025-10-08T04:58:18Z</dcterms:modified>
</cp:coreProperties>
</file>